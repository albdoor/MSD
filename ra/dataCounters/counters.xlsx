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A:\uni\masters nu\RA\pythonCode\ra\dataCounters\"/>
    </mc:Choice>
  </mc:AlternateContent>
  <xr:revisionPtr revIDLastSave="0" documentId="13_ncr:1_{5F66BE00-EFAE-4E0B-899E-396410EEF85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Y2" i="1"/>
  <c r="X3" i="1"/>
  <c r="Y3" i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" i="1"/>
  <c r="S2" i="1"/>
  <c r="T2" i="1"/>
  <c r="S3" i="1"/>
  <c r="T3" i="1"/>
  <c r="S4" i="1"/>
  <c r="T4" i="1"/>
  <c r="S5" i="1"/>
  <c r="T5" i="1"/>
  <c r="S6" i="1"/>
  <c r="T6" i="1"/>
  <c r="S7" i="1"/>
  <c r="T7" i="1"/>
  <c r="S8" i="1"/>
  <c r="T8" i="1"/>
  <c r="S9" i="1"/>
  <c r="T9" i="1"/>
  <c r="S10" i="1"/>
  <c r="T10" i="1"/>
  <c r="S11" i="1"/>
  <c r="T11" i="1"/>
  <c r="S12" i="1"/>
  <c r="T12" i="1"/>
  <c r="S13" i="1"/>
  <c r="T13" i="1"/>
  <c r="S14" i="1"/>
  <c r="T14" i="1"/>
  <c r="S15" i="1"/>
  <c r="T15" i="1"/>
  <c r="S16" i="1"/>
  <c r="T16" i="1"/>
  <c r="S17" i="1"/>
  <c r="T17" i="1"/>
  <c r="S18" i="1"/>
  <c r="T18" i="1"/>
  <c r="S19" i="1"/>
  <c r="T19" i="1"/>
  <c r="S20" i="1"/>
  <c r="T20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" i="1"/>
  <c r="N2" i="1"/>
  <c r="O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" i="1"/>
</calcChain>
</file>

<file path=xl/sharedStrings.xml><?xml version="1.0" encoding="utf-8"?>
<sst xmlns="http://schemas.openxmlformats.org/spreadsheetml/2006/main" count="22" uniqueCount="16">
  <si>
    <t>num_links</t>
  </si>
  <si>
    <t>rlg_AddCount</t>
  </si>
  <si>
    <t>rlg_MultCount</t>
  </si>
  <si>
    <t>rlg_TrigCount</t>
  </si>
  <si>
    <t>rnea_AddCount</t>
  </si>
  <si>
    <t>rnea_MultCount</t>
  </si>
  <si>
    <t>rnea_TrigCount</t>
  </si>
  <si>
    <t>ftst_AddCount</t>
  </si>
  <si>
    <t>ftst_MultCount</t>
  </si>
  <si>
    <t>ftst_TrigCount</t>
  </si>
  <si>
    <t>Add</t>
  </si>
  <si>
    <t>Mult</t>
  </si>
  <si>
    <t>Trig</t>
  </si>
  <si>
    <t>log_LE</t>
  </si>
  <si>
    <t>log_NE</t>
  </si>
  <si>
    <t>log_Ftst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</si>
</sst>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Add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rlg_AddCount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21874524159056388"/>
                  <c:y val="-1.294469611276006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Sheet1!$B$2:$B$20</c:f>
              <c:numCache>
                <c:formatCode>General</c:formatCode>
                <c:ptCount val="19"/>
                <c:pt idx="0">
                  <c:v>20</c:v>
                </c:pt>
                <c:pt idx="1">
                  <c:v>59</c:v>
                </c:pt>
                <c:pt idx="2">
                  <c:v>143</c:v>
                </c:pt>
                <c:pt idx="3">
                  <c:v>298</c:v>
                </c:pt>
                <c:pt idx="4">
                  <c:v>556</c:v>
                </c:pt>
                <c:pt idx="5">
                  <c:v>955</c:v>
                </c:pt>
                <c:pt idx="6">
                  <c:v>1539</c:v>
                </c:pt>
                <c:pt idx="7">
                  <c:v>2358</c:v>
                </c:pt>
                <c:pt idx="8">
                  <c:v>3468</c:v>
                </c:pt>
                <c:pt idx="9">
                  <c:v>4931</c:v>
                </c:pt>
                <c:pt idx="10">
                  <c:v>6815</c:v>
                </c:pt>
                <c:pt idx="11">
                  <c:v>9194</c:v>
                </c:pt>
                <c:pt idx="12">
                  <c:v>12148</c:v>
                </c:pt>
                <c:pt idx="13">
                  <c:v>15763</c:v>
                </c:pt>
                <c:pt idx="14">
                  <c:v>20131</c:v>
                </c:pt>
                <c:pt idx="15">
                  <c:v>25350</c:v>
                </c:pt>
                <c:pt idx="16">
                  <c:v>31524</c:v>
                </c:pt>
                <c:pt idx="17">
                  <c:v>38763</c:v>
                </c:pt>
                <c:pt idx="18">
                  <c:v>47183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0D-4F47-80DA-0B884A7C3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NE</a:t>
            </a:r>
            <a:r>
              <a:rPr lang="en-US" b="1" baseline="0"/>
              <a:t> and Featherstone Add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Sheet1!$E$1</c:f>
              <c:strCache>
                <c:ptCount val="1"/>
                <c:pt idx="0">
                  <c:v>rnea_AddCount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Sheet1!$E$2:$E$20</c:f>
              <c:numCache>
                <c:formatCode>General</c:formatCode>
                <c:ptCount val="19"/>
                <c:pt idx="0">
                  <c:v>22</c:v>
                </c:pt>
                <c:pt idx="1">
                  <c:v>36</c:v>
                </c:pt>
                <c:pt idx="2">
                  <c:v>50</c:v>
                </c:pt>
                <c:pt idx="3">
                  <c:v>64</c:v>
                </c:pt>
                <c:pt idx="4">
                  <c:v>78</c:v>
                </c:pt>
                <c:pt idx="5">
                  <c:v>92</c:v>
                </c:pt>
                <c:pt idx="6">
                  <c:v>106</c:v>
                </c:pt>
                <c:pt idx="7">
                  <c:v>120</c:v>
                </c:pt>
                <c:pt idx="8">
                  <c:v>134</c:v>
                </c:pt>
                <c:pt idx="9">
                  <c:v>148</c:v>
                </c:pt>
                <c:pt idx="10">
                  <c:v>162</c:v>
                </c:pt>
                <c:pt idx="11">
                  <c:v>176</c:v>
                </c:pt>
                <c:pt idx="12">
                  <c:v>190</c:v>
                </c:pt>
                <c:pt idx="13">
                  <c:v>204</c:v>
                </c:pt>
                <c:pt idx="14">
                  <c:v>218</c:v>
                </c:pt>
                <c:pt idx="15">
                  <c:v>232</c:v>
                </c:pt>
                <c:pt idx="16">
                  <c:v>246</c:v>
                </c:pt>
                <c:pt idx="17">
                  <c:v>260</c:v>
                </c:pt>
                <c:pt idx="18">
                  <c:v>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4A-4135-80FD-2850A25A980E}"/>
            </c:ext>
          </c:extLst>
        </c:ser>
        <c:ser>
          <c:idx val="2"/>
          <c:order val="1"/>
          <c:tx>
            <c:strRef>
              <c:f>Sheet1!$H$1</c:f>
              <c:strCache>
                <c:ptCount val="1"/>
                <c:pt idx="0">
                  <c:v>ftst_AddCount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6.7749327944176471E-2"/>
                  <c:y val="7.970651812478423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Sheet1!$H$2:$H$20</c:f>
              <c:numCache>
                <c:formatCode>General</c:formatCode>
                <c:ptCount val="19"/>
                <c:pt idx="0">
                  <c:v>11</c:v>
                </c:pt>
                <c:pt idx="1">
                  <c:v>18</c:v>
                </c:pt>
                <c:pt idx="2">
                  <c:v>25</c:v>
                </c:pt>
                <c:pt idx="3">
                  <c:v>32</c:v>
                </c:pt>
                <c:pt idx="4">
                  <c:v>39</c:v>
                </c:pt>
                <c:pt idx="5">
                  <c:v>46</c:v>
                </c:pt>
                <c:pt idx="6">
                  <c:v>53</c:v>
                </c:pt>
                <c:pt idx="7">
                  <c:v>60</c:v>
                </c:pt>
                <c:pt idx="8">
                  <c:v>67</c:v>
                </c:pt>
                <c:pt idx="9">
                  <c:v>74</c:v>
                </c:pt>
                <c:pt idx="10">
                  <c:v>81</c:v>
                </c:pt>
                <c:pt idx="11">
                  <c:v>88</c:v>
                </c:pt>
                <c:pt idx="12">
                  <c:v>95</c:v>
                </c:pt>
                <c:pt idx="13">
                  <c:v>102</c:v>
                </c:pt>
                <c:pt idx="14">
                  <c:v>109</c:v>
                </c:pt>
                <c:pt idx="15">
                  <c:v>116</c:v>
                </c:pt>
                <c:pt idx="16">
                  <c:v>123</c:v>
                </c:pt>
                <c:pt idx="17">
                  <c:v>130</c:v>
                </c:pt>
                <c:pt idx="18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4A-4135-80FD-2850A25A9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003196634319017"/>
          <c:y val="0.15783933841821754"/>
          <c:w val="0.20231670193768153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Multiplication</a:t>
            </a:r>
            <a:r>
              <a:rPr lang="en-US" b="1" baseline="0"/>
              <a:t>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rlg_MultCount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Sheet1!$C$2:$C$20</c:f>
              <c:numCache>
                <c:formatCode>General</c:formatCode>
                <c:ptCount val="19"/>
                <c:pt idx="0">
                  <c:v>113</c:v>
                </c:pt>
                <c:pt idx="1">
                  <c:v>494</c:v>
                </c:pt>
                <c:pt idx="2">
                  <c:v>1526</c:v>
                </c:pt>
                <c:pt idx="3">
                  <c:v>3791</c:v>
                </c:pt>
                <c:pt idx="4">
                  <c:v>8135</c:v>
                </c:pt>
                <c:pt idx="5">
                  <c:v>15716</c:v>
                </c:pt>
                <c:pt idx="6">
                  <c:v>28052</c:v>
                </c:pt>
                <c:pt idx="7">
                  <c:v>47069</c:v>
                </c:pt>
                <c:pt idx="8">
                  <c:v>75149</c:v>
                </c:pt>
                <c:pt idx="9">
                  <c:v>115178</c:v>
                </c:pt>
                <c:pt idx="10">
                  <c:v>170594</c:v>
                </c:pt>
                <c:pt idx="11">
                  <c:v>245435</c:v>
                </c:pt>
                <c:pt idx="12">
                  <c:v>344387</c:v>
                </c:pt>
                <c:pt idx="13">
                  <c:v>472832</c:v>
                </c:pt>
                <c:pt idx="14">
                  <c:v>636896</c:v>
                </c:pt>
                <c:pt idx="15">
                  <c:v>843497</c:v>
                </c:pt>
                <c:pt idx="16">
                  <c:v>1100393</c:v>
                </c:pt>
                <c:pt idx="17">
                  <c:v>1416230</c:v>
                </c:pt>
                <c:pt idx="18">
                  <c:v>1800590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D2-46F4-9D37-4434118E5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143519"/>
        <c:axId val="1186143999"/>
      </c:scatterChart>
      <c:valAx>
        <c:axId val="118614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999"/>
        <c:crosses val="autoZero"/>
        <c:crossBetween val="midCat"/>
      </c:valAx>
      <c:valAx>
        <c:axId val="118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NE</a:t>
            </a:r>
            <a:r>
              <a:rPr lang="en-US" sz="1400" b="1" baseline="0"/>
              <a:t> and Featherstone Multiplication Count</a:t>
            </a:r>
            <a:endParaRPr 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Sheet1!$F$1</c:f>
              <c:strCache>
                <c:ptCount val="1"/>
                <c:pt idx="0">
                  <c:v>rnea_MultCount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Sheet1!$F$2:$F$20</c:f>
              <c:numCache>
                <c:formatCode>General</c:formatCode>
                <c:ptCount val="19"/>
                <c:pt idx="0">
                  <c:v>39</c:v>
                </c:pt>
                <c:pt idx="1">
                  <c:v>63</c:v>
                </c:pt>
                <c:pt idx="2">
                  <c:v>88</c:v>
                </c:pt>
                <c:pt idx="3">
                  <c:v>114</c:v>
                </c:pt>
                <c:pt idx="4">
                  <c:v>141</c:v>
                </c:pt>
                <c:pt idx="5">
                  <c:v>169</c:v>
                </c:pt>
                <c:pt idx="6">
                  <c:v>198</c:v>
                </c:pt>
                <c:pt idx="7">
                  <c:v>228</c:v>
                </c:pt>
                <c:pt idx="8">
                  <c:v>259</c:v>
                </c:pt>
                <c:pt idx="9">
                  <c:v>291</c:v>
                </c:pt>
                <c:pt idx="10">
                  <c:v>324</c:v>
                </c:pt>
                <c:pt idx="11">
                  <c:v>358</c:v>
                </c:pt>
                <c:pt idx="12">
                  <c:v>393</c:v>
                </c:pt>
                <c:pt idx="13">
                  <c:v>429</c:v>
                </c:pt>
                <c:pt idx="14">
                  <c:v>466</c:v>
                </c:pt>
                <c:pt idx="15">
                  <c:v>504</c:v>
                </c:pt>
                <c:pt idx="16">
                  <c:v>543</c:v>
                </c:pt>
                <c:pt idx="17">
                  <c:v>583</c:v>
                </c:pt>
                <c:pt idx="18">
                  <c:v>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A3-467A-9206-586B1E479F89}"/>
            </c:ext>
          </c:extLst>
        </c:ser>
        <c:ser>
          <c:idx val="2"/>
          <c:order val="1"/>
          <c:tx>
            <c:strRef>
              <c:f>Sheet1!$I$1</c:f>
              <c:strCache>
                <c:ptCount val="1"/>
                <c:pt idx="0">
                  <c:v>ftst_MultCount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6950296467178893E-2"/>
                  <c:y val="9.7275547908637111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Sheet1!$I$2:$I$20</c:f>
              <c:numCache>
                <c:formatCode>General</c:formatCode>
                <c:ptCount val="19"/>
                <c:pt idx="0">
                  <c:v>24</c:v>
                </c:pt>
                <c:pt idx="1">
                  <c:v>37</c:v>
                </c:pt>
                <c:pt idx="2">
                  <c:v>50</c:v>
                </c:pt>
                <c:pt idx="3">
                  <c:v>63</c:v>
                </c:pt>
                <c:pt idx="4">
                  <c:v>76</c:v>
                </c:pt>
                <c:pt idx="5">
                  <c:v>89</c:v>
                </c:pt>
                <c:pt idx="6">
                  <c:v>102</c:v>
                </c:pt>
                <c:pt idx="7">
                  <c:v>115</c:v>
                </c:pt>
                <c:pt idx="8">
                  <c:v>128</c:v>
                </c:pt>
                <c:pt idx="9">
                  <c:v>141</c:v>
                </c:pt>
                <c:pt idx="10">
                  <c:v>154</c:v>
                </c:pt>
                <c:pt idx="11">
                  <c:v>167</c:v>
                </c:pt>
                <c:pt idx="12">
                  <c:v>180</c:v>
                </c:pt>
                <c:pt idx="13">
                  <c:v>193</c:v>
                </c:pt>
                <c:pt idx="14">
                  <c:v>206</c:v>
                </c:pt>
                <c:pt idx="15">
                  <c:v>219</c:v>
                </c:pt>
                <c:pt idx="16">
                  <c:v>232</c:v>
                </c:pt>
                <c:pt idx="17">
                  <c:v>245</c:v>
                </c:pt>
                <c:pt idx="18">
                  <c:v>258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A3-467A-9206-586B1E479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Additions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1411552369513132"/>
          <c:y val="0.15783933841821757"/>
          <c:w val="0.19984734958977585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LE Rotation Matrix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rlg_TrigCount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Sheet1!$D$2:$D$20</c:f>
              <c:numCache>
                <c:formatCode>General</c:formatCode>
                <c:ptCount val="19"/>
                <c:pt idx="0">
                  <c:v>141</c:v>
                </c:pt>
                <c:pt idx="1">
                  <c:v>642</c:v>
                </c:pt>
                <c:pt idx="2">
                  <c:v>2038</c:v>
                </c:pt>
                <c:pt idx="3">
                  <c:v>5193</c:v>
                </c:pt>
                <c:pt idx="4">
                  <c:v>11403</c:v>
                </c:pt>
                <c:pt idx="5">
                  <c:v>22484</c:v>
                </c:pt>
                <c:pt idx="6">
                  <c:v>40860</c:v>
                </c:pt>
                <c:pt idx="7">
                  <c:v>69651</c:v>
                </c:pt>
                <c:pt idx="8">
                  <c:v>112761</c:v>
                </c:pt>
                <c:pt idx="9">
                  <c:v>174966</c:v>
                </c:pt>
                <c:pt idx="10">
                  <c:v>262002</c:v>
                </c:pt>
                <c:pt idx="11">
                  <c:v>380653</c:v>
                </c:pt>
                <c:pt idx="12">
                  <c:v>538839</c:v>
                </c:pt>
                <c:pt idx="13">
                  <c:v>745704</c:v>
                </c:pt>
                <c:pt idx="14">
                  <c:v>1011704</c:v>
                </c:pt>
                <c:pt idx="15">
                  <c:v>1348695</c:v>
                </c:pt>
                <c:pt idx="16">
                  <c:v>1770021</c:v>
                </c:pt>
                <c:pt idx="17">
                  <c:v>2290602</c:v>
                </c:pt>
                <c:pt idx="18">
                  <c:v>2927022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53-437F-90BD-FECF69045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143519"/>
        <c:axId val="1186143999"/>
      </c:scatterChart>
      <c:valAx>
        <c:axId val="118614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999"/>
        <c:crosses val="autoZero"/>
        <c:crossBetween val="midCat"/>
      </c:valAx>
      <c:valAx>
        <c:axId val="118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Rotation</a:t>
                </a:r>
                <a:r>
                  <a:rPr lang="en-US" sz="1200" b="1" baseline="0"/>
                  <a:t> Matrices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14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NE and Featherstone</a:t>
            </a:r>
            <a:r>
              <a:rPr lang="en-US" b="1" baseline="0"/>
              <a:t> Rotation Matrix Count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Sheet1!$G$1</c:f>
              <c:strCache>
                <c:ptCount val="1"/>
                <c:pt idx="0">
                  <c:v>rnea_TrigCount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-1.5910595921272554E-2"/>
                  <c:y val="3.096903734781819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Sheet1!$G$2:$G$20</c:f>
              <c:numCache>
                <c:formatCode>General</c:formatCode>
                <c:ptCount val="19"/>
                <c:pt idx="0">
                  <c:v>6</c:v>
                </c:pt>
                <c:pt idx="1">
                  <c:v>11</c:v>
                </c:pt>
                <c:pt idx="2">
                  <c:v>17</c:v>
                </c:pt>
                <c:pt idx="3">
                  <c:v>24</c:v>
                </c:pt>
                <c:pt idx="4">
                  <c:v>32</c:v>
                </c:pt>
                <c:pt idx="5">
                  <c:v>41</c:v>
                </c:pt>
                <c:pt idx="6">
                  <c:v>51</c:v>
                </c:pt>
                <c:pt idx="7">
                  <c:v>62</c:v>
                </c:pt>
                <c:pt idx="8">
                  <c:v>74</c:v>
                </c:pt>
                <c:pt idx="9">
                  <c:v>87</c:v>
                </c:pt>
                <c:pt idx="10">
                  <c:v>101</c:v>
                </c:pt>
                <c:pt idx="11">
                  <c:v>116</c:v>
                </c:pt>
                <c:pt idx="12">
                  <c:v>132</c:v>
                </c:pt>
                <c:pt idx="13">
                  <c:v>149</c:v>
                </c:pt>
                <c:pt idx="14">
                  <c:v>167</c:v>
                </c:pt>
                <c:pt idx="15">
                  <c:v>186</c:v>
                </c:pt>
                <c:pt idx="16">
                  <c:v>206</c:v>
                </c:pt>
                <c:pt idx="17">
                  <c:v>227</c:v>
                </c:pt>
                <c:pt idx="18">
                  <c:v>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98-4C51-91A9-5CF25CC53A49}"/>
            </c:ext>
          </c:extLst>
        </c:ser>
        <c:ser>
          <c:idx val="2"/>
          <c:order val="1"/>
          <c:tx>
            <c:strRef>
              <c:f>Sheet1!$J$1</c:f>
              <c:strCache>
                <c:ptCount val="1"/>
                <c:pt idx="0">
                  <c:v>ftst_TrigCount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8017260554295123E-2"/>
                  <c:y val="-4.474306828836784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xVal>
          <c:yVal>
            <c:numRef>
              <c:f>Sheet1!$J$2:$J$20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98-4C51-91A9-5CF25CC53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551055"/>
        <c:axId val="1125555855"/>
      </c:scatterChart>
      <c:valAx>
        <c:axId val="1125551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5855"/>
        <c:crosses val="autoZero"/>
        <c:crossBetween val="midCat"/>
      </c:valAx>
      <c:valAx>
        <c:axId val="11255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Number of Rotation Matrices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551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571825132027988"/>
          <c:y val="0.23581203839547649"/>
          <c:w val="0.19390707517492517"/>
          <c:h val="0.2105277634384413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Count of</a:t>
            </a:r>
            <a:r>
              <a:rPr lang="en-US" b="1" baseline="0"/>
              <a:t> Additions vs 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 Add</c:v>
          </c:tx>
          <c:spPr>
            <a:ln w="412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Sheet1!$M$2:$M$20</c:f>
              <c:numCache>
                <c:formatCode>General</c:formatCode>
                <c:ptCount val="19"/>
                <c:pt idx="0">
                  <c:v>1.3010299956639813</c:v>
                </c:pt>
                <c:pt idx="1">
                  <c:v>1.7708520116421442</c:v>
                </c:pt>
                <c:pt idx="2">
                  <c:v>2.1553360374650619</c:v>
                </c:pt>
                <c:pt idx="3">
                  <c:v>2.4742162640762553</c:v>
                </c:pt>
                <c:pt idx="4">
                  <c:v>2.7450747915820575</c:v>
                </c:pt>
                <c:pt idx="5">
                  <c:v>2.9800033715837464</c:v>
                </c:pt>
                <c:pt idx="6">
                  <c:v>3.1872386198314788</c:v>
                </c:pt>
                <c:pt idx="7">
                  <c:v>3.3725438007590705</c:v>
                </c:pt>
                <c:pt idx="8">
                  <c:v>3.5400790888041729</c:v>
                </c:pt>
                <c:pt idx="9">
                  <c:v>3.6929350025311378</c:v>
                </c:pt>
                <c:pt idx="10">
                  <c:v>3.8334658601706924</c:v>
                </c:pt>
                <c:pt idx="11">
                  <c:v>3.9635044994142907</c:v>
                </c:pt>
                <c:pt idx="12">
                  <c:v>4.0845047832462278</c:v>
                </c:pt>
                <c:pt idx="13">
                  <c:v>4.1976388755555698</c:v>
                </c:pt>
                <c:pt idx="14">
                  <c:v>4.3038653488427041</c:v>
                </c:pt>
                <c:pt idx="15">
                  <c:v>4.4039779636693543</c:v>
                </c:pt>
                <c:pt idx="16">
                  <c:v>4.4986413188336947</c:v>
                </c:pt>
                <c:pt idx="17">
                  <c:v>4.5884173812019249</c:v>
                </c:pt>
                <c:pt idx="18">
                  <c:v>4.6737855508358148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82-48BD-A375-0041F112F0CE}"/>
            </c:ext>
          </c:extLst>
        </c:ser>
        <c:ser>
          <c:idx val="1"/>
          <c:order val="1"/>
          <c:tx>
            <c:v>NE Add</c:v>
          </c:tx>
          <c:spPr>
            <a:ln w="412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Sheet1!$R$2:$R$20</c:f>
              <c:numCache>
                <c:formatCode>General</c:formatCode>
                <c:ptCount val="19"/>
                <c:pt idx="0">
                  <c:v>1.3424226808222062</c:v>
                </c:pt>
                <c:pt idx="1">
                  <c:v>1.5563025007672873</c:v>
                </c:pt>
                <c:pt idx="2">
                  <c:v>1.6989700043360187</c:v>
                </c:pt>
                <c:pt idx="3">
                  <c:v>1.8061799739838871</c:v>
                </c:pt>
                <c:pt idx="4">
                  <c:v>1.8920946026904804</c:v>
                </c:pt>
                <c:pt idx="5">
                  <c:v>1.9637878273455553</c:v>
                </c:pt>
                <c:pt idx="6">
                  <c:v>2.0253058652647704</c:v>
                </c:pt>
                <c:pt idx="7">
                  <c:v>2.0791812460476247</c:v>
                </c:pt>
                <c:pt idx="8">
                  <c:v>2.1271047983648077</c:v>
                </c:pt>
                <c:pt idx="9">
                  <c:v>2.1702617153949575</c:v>
                </c:pt>
                <c:pt idx="10">
                  <c:v>2.2095150145426308</c:v>
                </c:pt>
                <c:pt idx="11">
                  <c:v>2.2455126678141499</c:v>
                </c:pt>
                <c:pt idx="12">
                  <c:v>2.2787536009528289</c:v>
                </c:pt>
                <c:pt idx="13">
                  <c:v>2.3096301674258988</c:v>
                </c:pt>
                <c:pt idx="14">
                  <c:v>2.3384564936046046</c:v>
                </c:pt>
                <c:pt idx="15">
                  <c:v>2.3654879848908998</c:v>
                </c:pt>
                <c:pt idx="16">
                  <c:v>2.3909351071033793</c:v>
                </c:pt>
                <c:pt idx="17">
                  <c:v>2.4149733479708178</c:v>
                </c:pt>
                <c:pt idx="18">
                  <c:v>2.4377505628203879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82-48BD-A375-0041F112F0CE}"/>
            </c:ext>
          </c:extLst>
        </c:ser>
        <c:ser>
          <c:idx val="2"/>
          <c:order val="2"/>
          <c:tx>
            <c:v>Featherstone Add</c:v>
          </c:tx>
          <c:spPr>
            <a:ln w="412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Sheet1!$W$2:$W$20</c:f>
              <c:numCache>
                <c:formatCode>General</c:formatCode>
                <c:ptCount val="19"/>
                <c:pt idx="0">
                  <c:v>1.0413926851582251</c:v>
                </c:pt>
                <c:pt idx="1">
                  <c:v>1.255272505103306</c:v>
                </c:pt>
                <c:pt idx="2">
                  <c:v>1.3979400086720377</c:v>
                </c:pt>
                <c:pt idx="3">
                  <c:v>1.505149978319906</c:v>
                </c:pt>
                <c:pt idx="4">
                  <c:v>1.5910646070264991</c:v>
                </c:pt>
                <c:pt idx="5">
                  <c:v>1.6627578316815741</c:v>
                </c:pt>
                <c:pt idx="6">
                  <c:v>1.7242758696007889</c:v>
                </c:pt>
                <c:pt idx="7">
                  <c:v>1.7781512503836436</c:v>
                </c:pt>
                <c:pt idx="8">
                  <c:v>1.8260748027008264</c:v>
                </c:pt>
                <c:pt idx="9">
                  <c:v>1.8692317197309762</c:v>
                </c:pt>
                <c:pt idx="10">
                  <c:v>1.9084850188786497</c:v>
                </c:pt>
                <c:pt idx="11">
                  <c:v>1.9444826721501687</c:v>
                </c:pt>
                <c:pt idx="12">
                  <c:v>1.9777236052888478</c:v>
                </c:pt>
                <c:pt idx="13">
                  <c:v>2.0086001717619175</c:v>
                </c:pt>
                <c:pt idx="14">
                  <c:v>2.0374264979406238</c:v>
                </c:pt>
                <c:pt idx="15">
                  <c:v>2.0644579892269186</c:v>
                </c:pt>
                <c:pt idx="16">
                  <c:v>2.0899051114393981</c:v>
                </c:pt>
                <c:pt idx="17">
                  <c:v>2.1139433523068369</c:v>
                </c:pt>
                <c:pt idx="18">
                  <c:v>2.1367205671564067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82-48BD-A375-0041F112F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468127"/>
        <c:axId val="1128951231"/>
      </c:lineChart>
      <c:catAx>
        <c:axId val="11304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951231"/>
        <c:crosses val="autoZero"/>
        <c:auto val="1"/>
        <c:lblAlgn val="ctr"/>
        <c:lblOffset val="100"/>
        <c:noMultiLvlLbl val="0"/>
      </c:catAx>
      <c:valAx>
        <c:axId val="112895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</a:t>
                </a:r>
                <a:r>
                  <a:rPr lang="en-US" sz="1200" b="1" baseline="0"/>
                  <a:t> Count of Additions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056261061456588"/>
          <c:y val="0.170133005526208"/>
          <c:w val="0.15576215216764974"/>
          <c:h val="0.14240606000199343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NE Log Add Count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'[1]5s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Sheet1!$R$2:$R$20</c:f>
              <c:numCache>
                <c:formatCode>General</c:formatCode>
                <c:ptCount val="19"/>
                <c:pt idx="0">
                  <c:v>1.3424226808222062</c:v>
                </c:pt>
                <c:pt idx="1">
                  <c:v>1.5563025007672873</c:v>
                </c:pt>
                <c:pt idx="2">
                  <c:v>1.6989700043360187</c:v>
                </c:pt>
                <c:pt idx="3">
                  <c:v>1.8061799739838871</c:v>
                </c:pt>
                <c:pt idx="4">
                  <c:v>1.8920946026904804</c:v>
                </c:pt>
                <c:pt idx="5">
                  <c:v>1.9637878273455553</c:v>
                </c:pt>
                <c:pt idx="6">
                  <c:v>2.0253058652647704</c:v>
                </c:pt>
                <c:pt idx="7">
                  <c:v>2.0791812460476247</c:v>
                </c:pt>
                <c:pt idx="8">
                  <c:v>2.1271047983648077</c:v>
                </c:pt>
                <c:pt idx="9">
                  <c:v>2.1702617153949575</c:v>
                </c:pt>
                <c:pt idx="10">
                  <c:v>2.2095150145426308</c:v>
                </c:pt>
                <c:pt idx="11">
                  <c:v>2.2455126678141499</c:v>
                </c:pt>
                <c:pt idx="12">
                  <c:v>2.2787536009528289</c:v>
                </c:pt>
                <c:pt idx="13">
                  <c:v>2.3096301674258988</c:v>
                </c:pt>
                <c:pt idx="14">
                  <c:v>2.3384564936046046</c:v>
                </c:pt>
                <c:pt idx="15">
                  <c:v>2.3654879848908998</c:v>
                </c:pt>
                <c:pt idx="16">
                  <c:v>2.3909351071033793</c:v>
                </c:pt>
                <c:pt idx="17">
                  <c:v>2.4149733479708178</c:v>
                </c:pt>
                <c:pt idx="18">
                  <c:v>2.4377505628203879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86-4E6F-BA4D-F8FB9A5D9ED3}"/>
            </c:ext>
          </c:extLst>
        </c:ser>
        <c:ser>
          <c:idx val="1"/>
          <c:order val="1"/>
          <c:tx>
            <c:v>LE Log Add Count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'[1]5s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Sheet1!$M$2:$M$20</c:f>
              <c:numCache>
                <c:formatCode>General</c:formatCode>
                <c:ptCount val="19"/>
                <c:pt idx="0">
                  <c:v>1.3010299956639813</c:v>
                </c:pt>
                <c:pt idx="1">
                  <c:v>1.7708520116421442</c:v>
                </c:pt>
                <c:pt idx="2">
                  <c:v>2.1553360374650619</c:v>
                </c:pt>
                <c:pt idx="3">
                  <c:v>2.4742162640762553</c:v>
                </c:pt>
                <c:pt idx="4">
                  <c:v>2.7450747915820575</c:v>
                </c:pt>
                <c:pt idx="5">
                  <c:v>2.9800033715837464</c:v>
                </c:pt>
                <c:pt idx="6">
                  <c:v>3.1872386198314788</c:v>
                </c:pt>
                <c:pt idx="7">
                  <c:v>3.3725438007590705</c:v>
                </c:pt>
                <c:pt idx="8">
                  <c:v>3.5400790888041729</c:v>
                </c:pt>
                <c:pt idx="9">
                  <c:v>3.6929350025311378</c:v>
                </c:pt>
                <c:pt idx="10">
                  <c:v>3.8334658601706924</c:v>
                </c:pt>
                <c:pt idx="11">
                  <c:v>3.9635044994142907</c:v>
                </c:pt>
                <c:pt idx="12">
                  <c:v>4.0845047832462278</c:v>
                </c:pt>
                <c:pt idx="13">
                  <c:v>4.1976388755555698</c:v>
                </c:pt>
                <c:pt idx="14">
                  <c:v>4.3038653488427041</c:v>
                </c:pt>
                <c:pt idx="15">
                  <c:v>4.4039779636693543</c:v>
                </c:pt>
                <c:pt idx="16">
                  <c:v>4.4986413188336947</c:v>
                </c:pt>
                <c:pt idx="17">
                  <c:v>4.5884173812019249</c:v>
                </c:pt>
                <c:pt idx="18">
                  <c:v>4.6737855508358148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86-4E6F-BA4D-F8FB9A5D9ED3}"/>
            </c:ext>
          </c:extLst>
        </c:ser>
        <c:ser>
          <c:idx val="2"/>
          <c:order val="2"/>
          <c:tx>
            <c:v>Featherstone Log Add Count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'[1]5s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Sheet1!$W$2:$W$20</c:f>
              <c:numCache>
                <c:formatCode>General</c:formatCode>
                <c:ptCount val="19"/>
                <c:pt idx="0">
                  <c:v>1.0413926851582251</c:v>
                </c:pt>
                <c:pt idx="1">
                  <c:v>1.255272505103306</c:v>
                </c:pt>
                <c:pt idx="2">
                  <c:v>1.3979400086720377</c:v>
                </c:pt>
                <c:pt idx="3">
                  <c:v>1.505149978319906</c:v>
                </c:pt>
                <c:pt idx="4">
                  <c:v>1.5910646070264991</c:v>
                </c:pt>
                <c:pt idx="5">
                  <c:v>1.6627578316815741</c:v>
                </c:pt>
                <c:pt idx="6">
                  <c:v>1.7242758696007889</c:v>
                </c:pt>
                <c:pt idx="7">
                  <c:v>1.7781512503836436</c:v>
                </c:pt>
                <c:pt idx="8">
                  <c:v>1.8260748027008264</c:v>
                </c:pt>
                <c:pt idx="9">
                  <c:v>1.8692317197309762</c:v>
                </c:pt>
                <c:pt idx="10">
                  <c:v>1.9084850188786497</c:v>
                </c:pt>
                <c:pt idx="11">
                  <c:v>1.9444826721501687</c:v>
                </c:pt>
                <c:pt idx="12">
                  <c:v>1.9777236052888478</c:v>
                </c:pt>
                <c:pt idx="13">
                  <c:v>2.0086001717619175</c:v>
                </c:pt>
                <c:pt idx="14">
                  <c:v>2.0374264979406238</c:v>
                </c:pt>
                <c:pt idx="15">
                  <c:v>2.0644579892269186</c:v>
                </c:pt>
                <c:pt idx="16">
                  <c:v>2.0899051114393981</c:v>
                </c:pt>
                <c:pt idx="17">
                  <c:v>2.1139433523068369</c:v>
                </c:pt>
                <c:pt idx="18">
                  <c:v>2.1367205671564067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86-4E6F-BA4D-F8FB9A5D9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Count of</a:t>
            </a:r>
            <a:r>
              <a:rPr lang="en-US" b="1" baseline="0"/>
              <a:t> Multiplications vs 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 Multiplications</c:v>
          </c:tx>
          <c:spPr>
            <a:ln w="412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Sheet1!$N$2:$N$20</c:f>
              <c:numCache>
                <c:formatCode>General</c:formatCode>
                <c:ptCount val="19"/>
                <c:pt idx="0">
                  <c:v>2.0530784434834195</c:v>
                </c:pt>
                <c:pt idx="1">
                  <c:v>2.6937269489236471</c:v>
                </c:pt>
                <c:pt idx="2">
                  <c:v>3.1835545336188615</c:v>
                </c:pt>
                <c:pt idx="3">
                  <c:v>3.5787537844264348</c:v>
                </c:pt>
                <c:pt idx="4">
                  <c:v>3.9103575572728775</c:v>
                </c:pt>
                <c:pt idx="5">
                  <c:v>4.1963420201397685</c:v>
                </c:pt>
                <c:pt idx="6">
                  <c:v>4.4479638302267448</c:v>
                </c:pt>
                <c:pt idx="7">
                  <c:v>4.672734971642158</c:v>
                </c:pt>
                <c:pt idx="8">
                  <c:v>4.875923205849455</c:v>
                </c:pt>
                <c:pt idx="9">
                  <c:v>5.0613695329844326</c:v>
                </c:pt>
                <c:pt idx="10">
                  <c:v>5.2319637524310654</c:v>
                </c:pt>
                <c:pt idx="11">
                  <c:v>5.389936494915041</c:v>
                </c:pt>
                <c:pt idx="12">
                  <c:v>5.5370467492426405</c:v>
                </c:pt>
                <c:pt idx="13">
                  <c:v>5.6747068607520914</c:v>
                </c:pt>
                <c:pt idx="14">
                  <c:v>5.8040685213250036</c:v>
                </c:pt>
                <c:pt idx="15">
                  <c:v>5.926083542306575</c:v>
                </c:pt>
                <c:pt idx="16">
                  <c:v>6.0415478190213152</c:v>
                </c:pt>
                <c:pt idx="17">
                  <c:v>6.151133789808104</c:v>
                </c:pt>
                <c:pt idx="18">
                  <c:v>6.2554148338586577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F7-458C-87BB-5B7EA60AD675}"/>
            </c:ext>
          </c:extLst>
        </c:ser>
        <c:ser>
          <c:idx val="1"/>
          <c:order val="1"/>
          <c:tx>
            <c:v>NE Multiplications</c:v>
          </c:tx>
          <c:spPr>
            <a:ln w="412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Sheet1!$S$2:$S$20</c:f>
              <c:numCache>
                <c:formatCode>General</c:formatCode>
                <c:ptCount val="19"/>
                <c:pt idx="0">
                  <c:v>1.5910646070264991</c:v>
                </c:pt>
                <c:pt idx="1">
                  <c:v>1.7993405494535817</c:v>
                </c:pt>
                <c:pt idx="2">
                  <c:v>1.9444826721501687</c:v>
                </c:pt>
                <c:pt idx="3">
                  <c:v>2.0569048513364727</c:v>
                </c:pt>
                <c:pt idx="4">
                  <c:v>2.1492191126553797</c:v>
                </c:pt>
                <c:pt idx="5">
                  <c:v>2.2278867046136734</c:v>
                </c:pt>
                <c:pt idx="6">
                  <c:v>2.2966651902615309</c:v>
                </c:pt>
                <c:pt idx="7">
                  <c:v>2.357934847000454</c:v>
                </c:pt>
                <c:pt idx="8">
                  <c:v>2.4132997640812519</c:v>
                </c:pt>
                <c:pt idx="9">
                  <c:v>2.4638929889859074</c:v>
                </c:pt>
                <c:pt idx="10">
                  <c:v>2.510545010206612</c:v>
                </c:pt>
                <c:pt idx="11">
                  <c:v>2.5538830266438746</c:v>
                </c:pt>
                <c:pt idx="12">
                  <c:v>2.5943925503754266</c:v>
                </c:pt>
                <c:pt idx="13">
                  <c:v>2.6324572921847245</c:v>
                </c:pt>
                <c:pt idx="14">
                  <c:v>2.6683859166900001</c:v>
                </c:pt>
                <c:pt idx="15">
                  <c:v>2.7024305364455254</c:v>
                </c:pt>
                <c:pt idx="16">
                  <c:v>2.7347998295888472</c:v>
                </c:pt>
                <c:pt idx="17">
                  <c:v>2.7656685547590141</c:v>
                </c:pt>
                <c:pt idx="18">
                  <c:v>2.7951845896824241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F7-458C-87BB-5B7EA60AD675}"/>
            </c:ext>
          </c:extLst>
        </c:ser>
        <c:ser>
          <c:idx val="2"/>
          <c:order val="2"/>
          <c:tx>
            <c:v>Featherstone Multiplications</c:v>
          </c:tx>
          <c:spPr>
            <a:ln w="412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Sheet1!$X$2:$X$20</c:f>
              <c:numCache>
                <c:formatCode>General</c:formatCode>
                <c:ptCount val="19"/>
                <c:pt idx="0">
                  <c:v>1.3802112417116059</c:v>
                </c:pt>
                <c:pt idx="1">
                  <c:v>1.568201724066995</c:v>
                </c:pt>
                <c:pt idx="2">
                  <c:v>1.6989700043360187</c:v>
                </c:pt>
                <c:pt idx="3">
                  <c:v>1.7993405494535817</c:v>
                </c:pt>
                <c:pt idx="4">
                  <c:v>1.8808135922807914</c:v>
                </c:pt>
                <c:pt idx="5">
                  <c:v>1.9493900066449128</c:v>
                </c:pt>
                <c:pt idx="6">
                  <c:v>2.0086001717619175</c:v>
                </c:pt>
                <c:pt idx="7">
                  <c:v>2.0606978403536118</c:v>
                </c:pt>
                <c:pt idx="8">
                  <c:v>2.1072099696478683</c:v>
                </c:pt>
                <c:pt idx="9">
                  <c:v>2.1492191126553797</c:v>
                </c:pt>
                <c:pt idx="10">
                  <c:v>2.1875207208364631</c:v>
                </c:pt>
                <c:pt idx="11">
                  <c:v>2.2227164711475833</c:v>
                </c:pt>
                <c:pt idx="12">
                  <c:v>2.255272505103306</c:v>
                </c:pt>
                <c:pt idx="13">
                  <c:v>2.2855573090077739</c:v>
                </c:pt>
                <c:pt idx="14">
                  <c:v>2.3138672203691533</c:v>
                </c:pt>
                <c:pt idx="15">
                  <c:v>2.3404441148401185</c:v>
                </c:pt>
                <c:pt idx="16">
                  <c:v>2.3654879848908998</c:v>
                </c:pt>
                <c:pt idx="17">
                  <c:v>2.3891660843645326</c:v>
                </c:pt>
                <c:pt idx="18">
                  <c:v>2.4116197059632301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F7-458C-87BB-5B7EA60AD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468127"/>
        <c:axId val="1128951231"/>
      </c:lineChart>
      <c:catAx>
        <c:axId val="11304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951231"/>
        <c:crosses val="autoZero"/>
        <c:auto val="1"/>
        <c:lblAlgn val="ctr"/>
        <c:lblOffset val="100"/>
        <c:noMultiLvlLbl val="0"/>
      </c:catAx>
      <c:valAx>
        <c:axId val="112895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</a:t>
                </a:r>
                <a:r>
                  <a:rPr lang="en-US" sz="1200" b="1" baseline="0"/>
                  <a:t> Count of Multiplications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10531614790612"/>
          <c:y val="0.13356479174280428"/>
          <c:w val="0.15576215216764974"/>
          <c:h val="0.1958519109161987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Count of</a:t>
            </a:r>
            <a:r>
              <a:rPr lang="en-US" b="1" baseline="0"/>
              <a:t> Rotation Matrices vs 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 Rot. Matrices</c:v>
          </c:tx>
          <c:spPr>
            <a:ln w="412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Sheet1!$O$2:$O$20</c:f>
              <c:numCache>
                <c:formatCode>General</c:formatCode>
                <c:ptCount val="19"/>
                <c:pt idx="0">
                  <c:v>2.1492191126553797</c:v>
                </c:pt>
                <c:pt idx="1">
                  <c:v>2.8075350280688531</c:v>
                </c:pt>
                <c:pt idx="2">
                  <c:v>3.3092041796704077</c:v>
                </c:pt>
                <c:pt idx="3">
                  <c:v>3.7154183225950561</c:v>
                </c:pt>
                <c:pt idx="4">
                  <c:v>4.0570191243227658</c:v>
                </c:pt>
                <c:pt idx="5">
                  <c:v>4.3518735766208998</c:v>
                </c:pt>
                <c:pt idx="6">
                  <c:v>4.611298362296429</c:v>
                </c:pt>
                <c:pt idx="7">
                  <c:v>4.8429273560990236</c:v>
                </c:pt>
                <c:pt idx="8">
                  <c:v>5.0521589186766507</c:v>
                </c:pt>
                <c:pt idx="9">
                  <c:v>5.242953663274962</c:v>
                </c:pt>
                <c:pt idx="10">
                  <c:v>5.4183046065321445</c:v>
                </c:pt>
                <c:pt idx="11">
                  <c:v>5.5805292569017242</c:v>
                </c:pt>
                <c:pt idx="12">
                  <c:v>5.7314590214827037</c:v>
                </c:pt>
                <c:pt idx="13">
                  <c:v>5.8725664726779767</c:v>
                </c:pt>
                <c:pt idx="14">
                  <c:v>6.0050534670785991</c:v>
                </c:pt>
                <c:pt idx="15">
                  <c:v>6.1299137474529397</c:v>
                </c:pt>
                <c:pt idx="16">
                  <c:v>6.2479784189776355</c:v>
                </c:pt>
                <c:pt idx="17">
                  <c:v>6.3599496355798379</c:v>
                </c:pt>
                <c:pt idx="18">
                  <c:v>6.4664259866779652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8-405E-A377-7A3D7DD26BC5}"/>
            </c:ext>
          </c:extLst>
        </c:ser>
        <c:ser>
          <c:idx val="1"/>
          <c:order val="1"/>
          <c:tx>
            <c:v>NE Rot. Matrices</c:v>
          </c:tx>
          <c:spPr>
            <a:ln w="412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Sheet1!$T$2:$T$20</c:f>
              <c:numCache>
                <c:formatCode>General</c:formatCode>
                <c:ptCount val="19"/>
                <c:pt idx="0">
                  <c:v>0.77815125038364363</c:v>
                </c:pt>
                <c:pt idx="1">
                  <c:v>1.0413926851582251</c:v>
                </c:pt>
                <c:pt idx="2">
                  <c:v>1.2304489213782739</c:v>
                </c:pt>
                <c:pt idx="3">
                  <c:v>1.3802112417116059</c:v>
                </c:pt>
                <c:pt idx="4">
                  <c:v>1.505149978319906</c:v>
                </c:pt>
                <c:pt idx="5">
                  <c:v>1.6127838567197355</c:v>
                </c:pt>
                <c:pt idx="6">
                  <c:v>1.7075701760979363</c:v>
                </c:pt>
                <c:pt idx="7">
                  <c:v>1.7923916894982539</c:v>
                </c:pt>
                <c:pt idx="8">
                  <c:v>1.8692317197309762</c:v>
                </c:pt>
                <c:pt idx="9">
                  <c:v>1.9395192526186185</c:v>
                </c:pt>
                <c:pt idx="10">
                  <c:v>2.0043213737826426</c:v>
                </c:pt>
                <c:pt idx="11">
                  <c:v>2.0644579892269186</c:v>
                </c:pt>
                <c:pt idx="12">
                  <c:v>2.12057393120585</c:v>
                </c:pt>
                <c:pt idx="13">
                  <c:v>2.173186268412274</c:v>
                </c:pt>
                <c:pt idx="14">
                  <c:v>2.2227164711475833</c:v>
                </c:pt>
                <c:pt idx="15">
                  <c:v>2.2695129442179165</c:v>
                </c:pt>
                <c:pt idx="16">
                  <c:v>2.3138672203691533</c:v>
                </c:pt>
                <c:pt idx="17">
                  <c:v>2.3560258571931225</c:v>
                </c:pt>
                <c:pt idx="18">
                  <c:v>2.3961993470957363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58-405E-A377-7A3D7DD26BC5}"/>
            </c:ext>
          </c:extLst>
        </c:ser>
        <c:ser>
          <c:idx val="2"/>
          <c:order val="2"/>
          <c:tx>
            <c:v>Featherstone Rot. Matrices</c:v>
          </c:tx>
          <c:spPr>
            <a:ln w="412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Sheet1!$Y$2:$Y$20</c:f>
              <c:numCache>
                <c:formatCode>General</c:formatCode>
                <c:ptCount val="19"/>
                <c:pt idx="0">
                  <c:v>0.3010299956639812</c:v>
                </c:pt>
                <c:pt idx="1">
                  <c:v>0.47712125471966244</c:v>
                </c:pt>
                <c:pt idx="2">
                  <c:v>0.6020599913279624</c:v>
                </c:pt>
                <c:pt idx="3">
                  <c:v>0.69897000433601886</c:v>
                </c:pt>
                <c:pt idx="4">
                  <c:v>0.77815125038364363</c:v>
                </c:pt>
                <c:pt idx="5">
                  <c:v>0.84509804001425681</c:v>
                </c:pt>
                <c:pt idx="6">
                  <c:v>0.90308998699194354</c:v>
                </c:pt>
                <c:pt idx="7">
                  <c:v>0.95424250943932487</c:v>
                </c:pt>
                <c:pt idx="8">
                  <c:v>1</c:v>
                </c:pt>
                <c:pt idx="9">
                  <c:v>1.0413926851582251</c:v>
                </c:pt>
                <c:pt idx="10">
                  <c:v>1.0791812460476249</c:v>
                </c:pt>
                <c:pt idx="11">
                  <c:v>1.1139433523068367</c:v>
                </c:pt>
                <c:pt idx="12">
                  <c:v>1.146128035678238</c:v>
                </c:pt>
                <c:pt idx="13">
                  <c:v>1.1760912590556813</c:v>
                </c:pt>
                <c:pt idx="14">
                  <c:v>1.2041199826559248</c:v>
                </c:pt>
                <c:pt idx="15">
                  <c:v>1.2304489213782739</c:v>
                </c:pt>
                <c:pt idx="16">
                  <c:v>1.255272505103306</c:v>
                </c:pt>
                <c:pt idx="17">
                  <c:v>1.2787536009528289</c:v>
                </c:pt>
                <c:pt idx="18">
                  <c:v>1.3010299956639813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58-405E-A377-7A3D7DD26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0468127"/>
        <c:axId val="1128951231"/>
      </c:lineChart>
      <c:catAx>
        <c:axId val="113046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 of Links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951231"/>
        <c:crosses val="autoZero"/>
        <c:auto val="1"/>
        <c:lblAlgn val="ctr"/>
        <c:lblOffset val="100"/>
        <c:noMultiLvlLbl val="0"/>
      </c:catAx>
      <c:valAx>
        <c:axId val="112895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</a:t>
                </a:r>
                <a:r>
                  <a:rPr lang="en-US" sz="1200" b="1" baseline="0"/>
                  <a:t> Count of </a:t>
                </a:r>
                <a:r>
                  <a:rPr lang="en-US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Rotation Matrices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10531614790612"/>
          <c:y val="0.13356479174280428"/>
          <c:w val="0.15576215216764974"/>
          <c:h val="0.1958519109161987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27</xdr:row>
      <xdr:rowOff>71437</xdr:rowOff>
    </xdr:from>
    <xdr:to>
      <xdr:col>6</xdr:col>
      <xdr:colOff>742950</xdr:colOff>
      <xdr:row>48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AF2D5B-425E-95B9-D28A-D24D69D9C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1314450</xdr:colOff>
      <xdr:row>26</xdr:row>
      <xdr:rowOff>47625</xdr:rowOff>
    </xdr:from>
    <xdr:to>
      <xdr:col>14</xdr:col>
      <xdr:colOff>504825</xdr:colOff>
      <xdr:row>47</xdr:row>
      <xdr:rowOff>119063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AA300-6A06-4B42-9595-D374D4B96F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276224</xdr:colOff>
      <xdr:row>53</xdr:row>
      <xdr:rowOff>52386</xdr:rowOff>
    </xdr:from>
    <xdr:to>
      <xdr:col>6</xdr:col>
      <xdr:colOff>304799</xdr:colOff>
      <xdr:row>71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F3C6FC-A195-5BDC-4B02-F097AA338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285750</xdr:colOff>
      <xdr:row>51</xdr:row>
      <xdr:rowOff>152400</xdr:rowOff>
    </xdr:from>
    <xdr:to>
      <xdr:col>15</xdr:col>
      <xdr:colOff>238125</xdr:colOff>
      <xdr:row>73</xdr:row>
      <xdr:rowOff>33338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E93EF5-A536-469A-9656-1D232C071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142875</xdr:colOff>
      <xdr:row>73</xdr:row>
      <xdr:rowOff>66674</xdr:rowOff>
    </xdr:from>
    <xdr:to>
      <xdr:col>6</xdr:col>
      <xdr:colOff>200025</xdr:colOff>
      <xdr:row>94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55F854-12E4-471F-9DED-3C515DD77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1257300</xdr:colOff>
      <xdr:row>76</xdr:row>
      <xdr:rowOff>85725</xdr:rowOff>
    </xdr:from>
    <xdr:to>
      <xdr:col>14</xdr:col>
      <xdr:colOff>447675</xdr:colOff>
      <xdr:row>97</xdr:row>
      <xdr:rowOff>157163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1064F7-D532-41C5-AE47-6F890535E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542924</xdr:colOff>
      <xdr:row>21</xdr:row>
      <xdr:rowOff>95250</xdr:rowOff>
    </xdr:from>
    <xdr:to>
      <xdr:col>31</xdr:col>
      <xdr:colOff>514349</xdr:colOff>
      <xdr:row>45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11AB2F-63F8-3B5E-913A-F69B78328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161925</xdr:colOff>
      <xdr:row>96</xdr:row>
      <xdr:rowOff>76200</xdr:rowOff>
    </xdr:from>
    <xdr:to>
      <xdr:col>9</xdr:col>
      <xdr:colOff>190501</xdr:colOff>
      <xdr:row>123</xdr:row>
      <xdr:rowOff>14289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56C8A02-F890-4703-B65D-72DB8802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171450</xdr:colOff>
      <xdr:row>52</xdr:row>
      <xdr:rowOff>47625</xdr:rowOff>
    </xdr:from>
    <xdr:to>
      <xdr:col>32</xdr:col>
      <xdr:colOff>142875</xdr:colOff>
      <xdr:row>75</xdr:row>
      <xdr:rowOff>180975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B6A088-96B8-4E81-9BC9-785A418FA5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0</xdr:colOff>
      <xdr:row>85</xdr:row>
      <xdr:rowOff>0</xdr:rowOff>
    </xdr:from>
    <xdr:to>
      <xdr:col>32</xdr:col>
      <xdr:colOff>581025</xdr:colOff>
      <xdr:row>108</xdr:row>
      <xdr:rowOff>133350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3B3ECB-0193-4C2F-9E56-387FE653A6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ime%20data%20(version%202).xlsb.xlsx" TargetMode="External"/><Relationship Id="rId2" Type="http://schemas.openxmlformats.org/officeDocument/2006/relationships/externalLinkPath" Target="file:///A:\uni\masters%20nu\RA\pythonCode\ra\time%20data%20(version%202).xlsb.xlsx" TargetMode="External"/><Relationship Id="rId1" Type="http://schemas.openxmlformats.org/officeDocument/2006/relationships/externalLinkPath" Target="/uni/masters%20nu/RA/pythonCode/ra/time%20data%20(version%202).xls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00s"/>
      <sheetName val="5s"/>
      <sheetName val="5s 500"/>
      <sheetName val="10s 1000"/>
      <sheetName val="20s 2000"/>
      <sheetName val="30s 3000"/>
      <sheetName val="40s 4000"/>
      <sheetName val="50s 5000"/>
      <sheetName val="60s 6000"/>
      <sheetName val="70s 7000"/>
      <sheetName val="80s 8000"/>
      <sheetName val="90s 9000"/>
    </sheetNames>
    <sheetDataSet>
      <sheetData sheetId="0" refreshError="1"/>
      <sheetData sheetId="1" refreshError="1"/>
      <sheetData sheetId="2">
        <row r="2">
          <cell r="A2">
            <v>2</v>
          </cell>
        </row>
        <row r="3">
          <cell r="A3">
            <v>3</v>
          </cell>
        </row>
        <row r="4">
          <cell r="A4">
            <v>4</v>
          </cell>
        </row>
        <row r="5">
          <cell r="A5">
            <v>5</v>
          </cell>
        </row>
        <row r="6">
          <cell r="A6">
            <v>6</v>
          </cell>
        </row>
        <row r="7">
          <cell r="A7">
            <v>7</v>
          </cell>
        </row>
        <row r="8">
          <cell r="A8">
            <v>8</v>
          </cell>
        </row>
        <row r="9">
          <cell r="A9">
            <v>9</v>
          </cell>
        </row>
        <row r="10">
          <cell r="A10">
            <v>10</v>
          </cell>
        </row>
        <row r="11">
          <cell r="A11">
            <v>11</v>
          </cell>
        </row>
        <row r="12">
          <cell r="A12">
            <v>12</v>
          </cell>
        </row>
        <row r="13">
          <cell r="A13">
            <v>13</v>
          </cell>
        </row>
        <row r="14">
          <cell r="A14">
            <v>14</v>
          </cell>
        </row>
        <row r="15">
          <cell r="A15">
            <v>15</v>
          </cell>
        </row>
        <row r="16">
          <cell r="A16">
            <v>16</v>
          </cell>
        </row>
        <row r="17">
          <cell r="A17">
            <v>17</v>
          </cell>
        </row>
        <row r="18">
          <cell r="A18">
            <v>18</v>
          </cell>
        </row>
        <row r="19">
          <cell r="A19">
            <v>19</v>
          </cell>
        </row>
        <row r="20">
          <cell r="A20">
            <v>20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"/>
  <sheetViews>
    <sheetView tabSelected="1" workbookViewId="0">
      <selection activeCell="AK90" sqref="AK90"/>
    </sheetView>
  </sheetViews>
  <sheetFormatPr defaultRowHeight="15" x14ac:dyDescent="0.25"/>
  <cols>
    <col min="1" max="1" width="13.7109375" customWidth="1"/>
    <col min="2" max="2" width="23.85546875" customWidth="1"/>
    <col min="3" max="3" width="21" customWidth="1"/>
    <col min="4" max="4" width="19.7109375" customWidth="1"/>
    <col min="5" max="5" width="17.7109375" customWidth="1"/>
    <col min="6" max="6" width="16.85546875" customWidth="1"/>
    <col min="7" max="7" width="20.5703125" customWidth="1"/>
    <col min="8" max="8" width="21.28515625" customWidth="1"/>
    <col min="9" max="9" width="21.7109375" customWidth="1"/>
    <col min="10" max="10" width="30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13</v>
      </c>
      <c r="M1" t="s">
        <v>10</v>
      </c>
      <c r="N1" t="s">
        <v>11</v>
      </c>
      <c r="O1" t="s">
        <v>12</v>
      </c>
      <c r="Q1" t="s">
        <v>14</v>
      </c>
      <c r="R1" t="s">
        <v>10</v>
      </c>
      <c r="S1" t="s">
        <v>11</v>
      </c>
      <c r="T1" t="s">
        <v>12</v>
      </c>
      <c r="V1" t="s">
        <v>15</v>
      </c>
      <c r="W1" t="s">
        <v>10</v>
      </c>
      <c r="X1" t="s">
        <v>11</v>
      </c>
      <c r="Y1" t="s">
        <v>12</v>
      </c>
    </row>
    <row r="2" spans="1:25" x14ac:dyDescent="0.25">
      <c r="A2">
        <v>2</v>
      </c>
      <c r="B2">
        <v>20</v>
      </c>
      <c r="C2">
        <v>113</v>
      </c>
      <c r="D2">
        <v>141</v>
      </c>
      <c r="E2">
        <v>22</v>
      </c>
      <c r="F2">
        <v>39</v>
      </c>
      <c r="G2">
        <v>6</v>
      </c>
      <c r="H2">
        <v>11</v>
      </c>
      <c r="I2">
        <v>24</v>
      </c>
      <c r="J2">
        <v>2</v>
      </c>
      <c r="M2">
        <f>LOG(B2)</f>
        <v>1.3010299956639813</v>
      </c>
      <c r="N2">
        <f t="shared" ref="N2:O17" si="0">LOG(C2)</f>
        <v>2.0530784434834195</v>
      </c>
      <c r="O2">
        <f t="shared" si="0"/>
        <v>2.1492191126553797</v>
      </c>
      <c r="R2">
        <f>LOG(E2)</f>
        <v>1.3424226808222062</v>
      </c>
      <c r="S2">
        <f t="shared" ref="S2:T17" si="1">LOG(F2)</f>
        <v>1.5910646070264991</v>
      </c>
      <c r="T2">
        <f t="shared" si="1"/>
        <v>0.77815125038364363</v>
      </c>
      <c r="W2">
        <f>LOG(H2)</f>
        <v>1.0413926851582251</v>
      </c>
      <c r="X2">
        <f t="shared" ref="X2:Y17" si="2">LOG(I2)</f>
        <v>1.3802112417116059</v>
      </c>
      <c r="Y2">
        <f t="shared" si="2"/>
        <v>0.3010299956639812</v>
      </c>
    </row>
    <row r="3" spans="1:25" x14ac:dyDescent="0.25">
      <c r="A3">
        <v>3</v>
      </c>
      <c r="B3">
        <v>59</v>
      </c>
      <c r="C3">
        <v>494</v>
      </c>
      <c r="D3">
        <v>642</v>
      </c>
      <c r="E3">
        <v>36</v>
      </c>
      <c r="F3">
        <v>63</v>
      </c>
      <c r="G3">
        <v>11</v>
      </c>
      <c r="H3">
        <v>18</v>
      </c>
      <c r="I3">
        <v>37</v>
      </c>
      <c r="J3">
        <v>3</v>
      </c>
      <c r="M3">
        <f t="shared" ref="M3:M20" si="3">LOG(B3)</f>
        <v>1.7708520116421442</v>
      </c>
      <c r="N3">
        <f t="shared" si="0"/>
        <v>2.6937269489236471</v>
      </c>
      <c r="O3">
        <f t="shared" si="0"/>
        <v>2.8075350280688531</v>
      </c>
      <c r="R3">
        <f t="shared" ref="R3:R20" si="4">LOG(E3)</f>
        <v>1.5563025007672873</v>
      </c>
      <c r="S3">
        <f t="shared" si="1"/>
        <v>1.7993405494535817</v>
      </c>
      <c r="T3">
        <f t="shared" si="1"/>
        <v>1.0413926851582251</v>
      </c>
      <c r="W3">
        <f t="shared" ref="W3:W20" si="5">LOG(H3)</f>
        <v>1.255272505103306</v>
      </c>
      <c r="X3">
        <f t="shared" si="2"/>
        <v>1.568201724066995</v>
      </c>
      <c r="Y3">
        <f t="shared" si="2"/>
        <v>0.47712125471966244</v>
      </c>
    </row>
    <row r="4" spans="1:25" x14ac:dyDescent="0.25">
      <c r="A4">
        <v>4</v>
      </c>
      <c r="B4">
        <v>143</v>
      </c>
      <c r="C4">
        <v>1526</v>
      </c>
      <c r="D4">
        <v>2038</v>
      </c>
      <c r="E4">
        <v>50</v>
      </c>
      <c r="F4">
        <v>88</v>
      </c>
      <c r="G4">
        <v>17</v>
      </c>
      <c r="H4">
        <v>25</v>
      </c>
      <c r="I4">
        <v>50</v>
      </c>
      <c r="J4">
        <v>4</v>
      </c>
      <c r="M4">
        <f t="shared" si="3"/>
        <v>2.1553360374650619</v>
      </c>
      <c r="N4">
        <f t="shared" si="0"/>
        <v>3.1835545336188615</v>
      </c>
      <c r="O4">
        <f t="shared" si="0"/>
        <v>3.3092041796704077</v>
      </c>
      <c r="R4">
        <f t="shared" si="4"/>
        <v>1.6989700043360187</v>
      </c>
      <c r="S4">
        <f t="shared" si="1"/>
        <v>1.9444826721501687</v>
      </c>
      <c r="T4">
        <f t="shared" si="1"/>
        <v>1.2304489213782739</v>
      </c>
      <c r="W4">
        <f t="shared" si="5"/>
        <v>1.3979400086720377</v>
      </c>
      <c r="X4">
        <f t="shared" si="2"/>
        <v>1.6989700043360187</v>
      </c>
      <c r="Y4">
        <f t="shared" si="2"/>
        <v>0.6020599913279624</v>
      </c>
    </row>
    <row r="5" spans="1:25" x14ac:dyDescent="0.25">
      <c r="A5">
        <v>5</v>
      </c>
      <c r="B5">
        <v>298</v>
      </c>
      <c r="C5">
        <v>3791</v>
      </c>
      <c r="D5">
        <v>5193</v>
      </c>
      <c r="E5">
        <v>64</v>
      </c>
      <c r="F5">
        <v>114</v>
      </c>
      <c r="G5">
        <v>24</v>
      </c>
      <c r="H5">
        <v>32</v>
      </c>
      <c r="I5">
        <v>63</v>
      </c>
      <c r="J5">
        <v>5</v>
      </c>
      <c r="M5">
        <f t="shared" si="3"/>
        <v>2.4742162640762553</v>
      </c>
      <c r="N5">
        <f t="shared" si="0"/>
        <v>3.5787537844264348</v>
      </c>
      <c r="O5">
        <f t="shared" si="0"/>
        <v>3.7154183225950561</v>
      </c>
      <c r="R5">
        <f t="shared" si="4"/>
        <v>1.8061799739838871</v>
      </c>
      <c r="S5">
        <f t="shared" si="1"/>
        <v>2.0569048513364727</v>
      </c>
      <c r="T5">
        <f t="shared" si="1"/>
        <v>1.3802112417116059</v>
      </c>
      <c r="W5">
        <f t="shared" si="5"/>
        <v>1.505149978319906</v>
      </c>
      <c r="X5">
        <f t="shared" si="2"/>
        <v>1.7993405494535817</v>
      </c>
      <c r="Y5">
        <f t="shared" si="2"/>
        <v>0.69897000433601886</v>
      </c>
    </row>
    <row r="6" spans="1:25" x14ac:dyDescent="0.25">
      <c r="A6">
        <v>6</v>
      </c>
      <c r="B6">
        <v>556</v>
      </c>
      <c r="C6">
        <v>8135</v>
      </c>
      <c r="D6">
        <v>11403</v>
      </c>
      <c r="E6">
        <v>78</v>
      </c>
      <c r="F6">
        <v>141</v>
      </c>
      <c r="G6">
        <v>32</v>
      </c>
      <c r="H6">
        <v>39</v>
      </c>
      <c r="I6">
        <v>76</v>
      </c>
      <c r="J6">
        <v>6</v>
      </c>
      <c r="M6">
        <f t="shared" si="3"/>
        <v>2.7450747915820575</v>
      </c>
      <c r="N6">
        <f t="shared" si="0"/>
        <v>3.9103575572728775</v>
      </c>
      <c r="O6">
        <f t="shared" si="0"/>
        <v>4.0570191243227658</v>
      </c>
      <c r="R6">
        <f t="shared" si="4"/>
        <v>1.8920946026904804</v>
      </c>
      <c r="S6">
        <f t="shared" si="1"/>
        <v>2.1492191126553797</v>
      </c>
      <c r="T6">
        <f t="shared" si="1"/>
        <v>1.505149978319906</v>
      </c>
      <c r="W6">
        <f t="shared" si="5"/>
        <v>1.5910646070264991</v>
      </c>
      <c r="X6">
        <f t="shared" si="2"/>
        <v>1.8808135922807914</v>
      </c>
      <c r="Y6">
        <f t="shared" si="2"/>
        <v>0.77815125038364363</v>
      </c>
    </row>
    <row r="7" spans="1:25" x14ac:dyDescent="0.25">
      <c r="A7">
        <v>7</v>
      </c>
      <c r="B7">
        <v>955</v>
      </c>
      <c r="C7">
        <v>15716</v>
      </c>
      <c r="D7">
        <v>22484</v>
      </c>
      <c r="E7">
        <v>92</v>
      </c>
      <c r="F7">
        <v>169</v>
      </c>
      <c r="G7">
        <v>41</v>
      </c>
      <c r="H7">
        <v>46</v>
      </c>
      <c r="I7">
        <v>89</v>
      </c>
      <c r="J7">
        <v>7</v>
      </c>
      <c r="M7">
        <f t="shared" si="3"/>
        <v>2.9800033715837464</v>
      </c>
      <c r="N7">
        <f t="shared" si="0"/>
        <v>4.1963420201397685</v>
      </c>
      <c r="O7">
        <f t="shared" si="0"/>
        <v>4.3518735766208998</v>
      </c>
      <c r="R7">
        <f t="shared" si="4"/>
        <v>1.9637878273455553</v>
      </c>
      <c r="S7">
        <f t="shared" si="1"/>
        <v>2.2278867046136734</v>
      </c>
      <c r="T7">
        <f t="shared" si="1"/>
        <v>1.6127838567197355</v>
      </c>
      <c r="W7">
        <f t="shared" si="5"/>
        <v>1.6627578316815741</v>
      </c>
      <c r="X7">
        <f t="shared" si="2"/>
        <v>1.9493900066449128</v>
      </c>
      <c r="Y7">
        <f t="shared" si="2"/>
        <v>0.84509804001425681</v>
      </c>
    </row>
    <row r="8" spans="1:25" x14ac:dyDescent="0.25">
      <c r="A8">
        <v>8</v>
      </c>
      <c r="B8">
        <v>1539</v>
      </c>
      <c r="C8">
        <v>28052</v>
      </c>
      <c r="D8">
        <v>40860</v>
      </c>
      <c r="E8">
        <v>106</v>
      </c>
      <c r="F8">
        <v>198</v>
      </c>
      <c r="G8">
        <v>51</v>
      </c>
      <c r="H8">
        <v>53</v>
      </c>
      <c r="I8">
        <v>102</v>
      </c>
      <c r="J8">
        <v>8</v>
      </c>
      <c r="M8">
        <f t="shared" si="3"/>
        <v>3.1872386198314788</v>
      </c>
      <c r="N8">
        <f t="shared" si="0"/>
        <v>4.4479638302267448</v>
      </c>
      <c r="O8">
        <f t="shared" si="0"/>
        <v>4.611298362296429</v>
      </c>
      <c r="R8">
        <f t="shared" si="4"/>
        <v>2.0253058652647704</v>
      </c>
      <c r="S8">
        <f t="shared" si="1"/>
        <v>2.2966651902615309</v>
      </c>
      <c r="T8">
        <f t="shared" si="1"/>
        <v>1.7075701760979363</v>
      </c>
      <c r="W8">
        <f t="shared" si="5"/>
        <v>1.7242758696007889</v>
      </c>
      <c r="X8">
        <f t="shared" si="2"/>
        <v>2.0086001717619175</v>
      </c>
      <c r="Y8">
        <f t="shared" si="2"/>
        <v>0.90308998699194354</v>
      </c>
    </row>
    <row r="9" spans="1:25" x14ac:dyDescent="0.25">
      <c r="A9">
        <v>9</v>
      </c>
      <c r="B9">
        <v>2358</v>
      </c>
      <c r="C9">
        <v>47069</v>
      </c>
      <c r="D9">
        <v>69651</v>
      </c>
      <c r="E9">
        <v>120</v>
      </c>
      <c r="F9">
        <v>228</v>
      </c>
      <c r="G9">
        <v>62</v>
      </c>
      <c r="H9">
        <v>60</v>
      </c>
      <c r="I9">
        <v>115</v>
      </c>
      <c r="J9">
        <v>9</v>
      </c>
      <c r="M9">
        <f t="shared" si="3"/>
        <v>3.3725438007590705</v>
      </c>
      <c r="N9">
        <f t="shared" si="0"/>
        <v>4.672734971642158</v>
      </c>
      <c r="O9">
        <f t="shared" si="0"/>
        <v>4.8429273560990236</v>
      </c>
      <c r="R9">
        <f t="shared" si="4"/>
        <v>2.0791812460476247</v>
      </c>
      <c r="S9">
        <f t="shared" si="1"/>
        <v>2.357934847000454</v>
      </c>
      <c r="T9">
        <f t="shared" si="1"/>
        <v>1.7923916894982539</v>
      </c>
      <c r="W9">
        <f t="shared" si="5"/>
        <v>1.7781512503836436</v>
      </c>
      <c r="X9">
        <f t="shared" si="2"/>
        <v>2.0606978403536118</v>
      </c>
      <c r="Y9">
        <f t="shared" si="2"/>
        <v>0.95424250943932487</v>
      </c>
    </row>
    <row r="10" spans="1:25" x14ac:dyDescent="0.25">
      <c r="A10">
        <v>10</v>
      </c>
      <c r="B10">
        <v>3468</v>
      </c>
      <c r="C10">
        <v>75149</v>
      </c>
      <c r="D10">
        <v>112761</v>
      </c>
      <c r="E10">
        <v>134</v>
      </c>
      <c r="F10">
        <v>259</v>
      </c>
      <c r="G10">
        <v>74</v>
      </c>
      <c r="H10">
        <v>67</v>
      </c>
      <c r="I10">
        <v>128</v>
      </c>
      <c r="J10">
        <v>10</v>
      </c>
      <c r="M10">
        <f t="shared" si="3"/>
        <v>3.5400790888041729</v>
      </c>
      <c r="N10">
        <f t="shared" si="0"/>
        <v>4.875923205849455</v>
      </c>
      <c r="O10">
        <f t="shared" si="0"/>
        <v>5.0521589186766507</v>
      </c>
      <c r="R10">
        <f t="shared" si="4"/>
        <v>2.1271047983648077</v>
      </c>
      <c r="S10">
        <f t="shared" si="1"/>
        <v>2.4132997640812519</v>
      </c>
      <c r="T10">
        <f t="shared" si="1"/>
        <v>1.8692317197309762</v>
      </c>
      <c r="W10">
        <f t="shared" si="5"/>
        <v>1.8260748027008264</v>
      </c>
      <c r="X10">
        <f t="shared" si="2"/>
        <v>2.1072099696478683</v>
      </c>
      <c r="Y10">
        <f t="shared" si="2"/>
        <v>1</v>
      </c>
    </row>
    <row r="11" spans="1:25" x14ac:dyDescent="0.25">
      <c r="A11">
        <v>11</v>
      </c>
      <c r="B11">
        <v>4931</v>
      </c>
      <c r="C11">
        <v>115178</v>
      </c>
      <c r="D11">
        <v>174966</v>
      </c>
      <c r="E11">
        <v>148</v>
      </c>
      <c r="F11">
        <v>291</v>
      </c>
      <c r="G11">
        <v>87</v>
      </c>
      <c r="H11">
        <v>74</v>
      </c>
      <c r="I11">
        <v>141</v>
      </c>
      <c r="J11">
        <v>11</v>
      </c>
      <c r="M11">
        <f t="shared" si="3"/>
        <v>3.6929350025311378</v>
      </c>
      <c r="N11">
        <f t="shared" si="0"/>
        <v>5.0613695329844326</v>
      </c>
      <c r="O11">
        <f t="shared" si="0"/>
        <v>5.242953663274962</v>
      </c>
      <c r="R11">
        <f t="shared" si="4"/>
        <v>2.1702617153949575</v>
      </c>
      <c r="S11">
        <f t="shared" si="1"/>
        <v>2.4638929889859074</v>
      </c>
      <c r="T11">
        <f t="shared" si="1"/>
        <v>1.9395192526186185</v>
      </c>
      <c r="W11">
        <f t="shared" si="5"/>
        <v>1.8692317197309762</v>
      </c>
      <c r="X11">
        <f t="shared" si="2"/>
        <v>2.1492191126553797</v>
      </c>
      <c r="Y11">
        <f t="shared" si="2"/>
        <v>1.0413926851582251</v>
      </c>
    </row>
    <row r="12" spans="1:25" x14ac:dyDescent="0.25">
      <c r="A12">
        <v>12</v>
      </c>
      <c r="B12">
        <v>6815</v>
      </c>
      <c r="C12">
        <v>170594</v>
      </c>
      <c r="D12">
        <v>262002</v>
      </c>
      <c r="E12">
        <v>162</v>
      </c>
      <c r="F12">
        <v>324</v>
      </c>
      <c r="G12">
        <v>101</v>
      </c>
      <c r="H12">
        <v>81</v>
      </c>
      <c r="I12">
        <v>154</v>
      </c>
      <c r="J12">
        <v>12</v>
      </c>
      <c r="M12">
        <f t="shared" si="3"/>
        <v>3.8334658601706924</v>
      </c>
      <c r="N12">
        <f t="shared" si="0"/>
        <v>5.2319637524310654</v>
      </c>
      <c r="O12">
        <f t="shared" si="0"/>
        <v>5.4183046065321445</v>
      </c>
      <c r="R12">
        <f t="shared" si="4"/>
        <v>2.2095150145426308</v>
      </c>
      <c r="S12">
        <f t="shared" si="1"/>
        <v>2.510545010206612</v>
      </c>
      <c r="T12">
        <f t="shared" si="1"/>
        <v>2.0043213737826426</v>
      </c>
      <c r="W12">
        <f t="shared" si="5"/>
        <v>1.9084850188786497</v>
      </c>
      <c r="X12">
        <f t="shared" si="2"/>
        <v>2.1875207208364631</v>
      </c>
      <c r="Y12">
        <f t="shared" si="2"/>
        <v>1.0791812460476249</v>
      </c>
    </row>
    <row r="13" spans="1:25" x14ac:dyDescent="0.25">
      <c r="A13">
        <v>13</v>
      </c>
      <c r="B13">
        <v>9194</v>
      </c>
      <c r="C13">
        <v>245435</v>
      </c>
      <c r="D13">
        <v>380653</v>
      </c>
      <c r="E13">
        <v>176</v>
      </c>
      <c r="F13">
        <v>358</v>
      </c>
      <c r="G13">
        <v>116</v>
      </c>
      <c r="H13">
        <v>88</v>
      </c>
      <c r="I13">
        <v>167</v>
      </c>
      <c r="J13">
        <v>13</v>
      </c>
      <c r="M13">
        <f t="shared" si="3"/>
        <v>3.9635044994142907</v>
      </c>
      <c r="N13">
        <f t="shared" si="0"/>
        <v>5.389936494915041</v>
      </c>
      <c r="O13">
        <f t="shared" si="0"/>
        <v>5.5805292569017242</v>
      </c>
      <c r="R13">
        <f t="shared" si="4"/>
        <v>2.2455126678141499</v>
      </c>
      <c r="S13">
        <f t="shared" si="1"/>
        <v>2.5538830266438746</v>
      </c>
      <c r="T13">
        <f t="shared" si="1"/>
        <v>2.0644579892269186</v>
      </c>
      <c r="W13">
        <f t="shared" si="5"/>
        <v>1.9444826721501687</v>
      </c>
      <c r="X13">
        <f t="shared" si="2"/>
        <v>2.2227164711475833</v>
      </c>
      <c r="Y13">
        <f t="shared" si="2"/>
        <v>1.1139433523068367</v>
      </c>
    </row>
    <row r="14" spans="1:25" x14ac:dyDescent="0.25">
      <c r="A14">
        <v>14</v>
      </c>
      <c r="B14">
        <v>12148</v>
      </c>
      <c r="C14">
        <v>344387</v>
      </c>
      <c r="D14">
        <v>538839</v>
      </c>
      <c r="E14">
        <v>190</v>
      </c>
      <c r="F14">
        <v>393</v>
      </c>
      <c r="G14">
        <v>132</v>
      </c>
      <c r="H14">
        <v>95</v>
      </c>
      <c r="I14">
        <v>180</v>
      </c>
      <c r="J14">
        <v>14</v>
      </c>
      <c r="M14">
        <f t="shared" si="3"/>
        <v>4.0845047832462278</v>
      </c>
      <c r="N14">
        <f t="shared" si="0"/>
        <v>5.5370467492426405</v>
      </c>
      <c r="O14">
        <f t="shared" si="0"/>
        <v>5.7314590214827037</v>
      </c>
      <c r="R14">
        <f t="shared" si="4"/>
        <v>2.2787536009528289</v>
      </c>
      <c r="S14">
        <f t="shared" si="1"/>
        <v>2.5943925503754266</v>
      </c>
      <c r="T14">
        <f t="shared" si="1"/>
        <v>2.12057393120585</v>
      </c>
      <c r="W14">
        <f t="shared" si="5"/>
        <v>1.9777236052888478</v>
      </c>
      <c r="X14">
        <f t="shared" si="2"/>
        <v>2.255272505103306</v>
      </c>
      <c r="Y14">
        <f t="shared" si="2"/>
        <v>1.146128035678238</v>
      </c>
    </row>
    <row r="15" spans="1:25" x14ac:dyDescent="0.25">
      <c r="A15">
        <v>15</v>
      </c>
      <c r="B15">
        <v>15763</v>
      </c>
      <c r="C15">
        <v>472832</v>
      </c>
      <c r="D15">
        <v>745704</v>
      </c>
      <c r="E15">
        <v>204</v>
      </c>
      <c r="F15">
        <v>429</v>
      </c>
      <c r="G15">
        <v>149</v>
      </c>
      <c r="H15">
        <v>102</v>
      </c>
      <c r="I15">
        <v>193</v>
      </c>
      <c r="J15">
        <v>15</v>
      </c>
      <c r="M15">
        <f t="shared" si="3"/>
        <v>4.1976388755555698</v>
      </c>
      <c r="N15">
        <f t="shared" si="0"/>
        <v>5.6747068607520914</v>
      </c>
      <c r="O15">
        <f t="shared" si="0"/>
        <v>5.8725664726779767</v>
      </c>
      <c r="R15">
        <f t="shared" si="4"/>
        <v>2.3096301674258988</v>
      </c>
      <c r="S15">
        <f t="shared" si="1"/>
        <v>2.6324572921847245</v>
      </c>
      <c r="T15">
        <f t="shared" si="1"/>
        <v>2.173186268412274</v>
      </c>
      <c r="W15">
        <f t="shared" si="5"/>
        <v>2.0086001717619175</v>
      </c>
      <c r="X15">
        <f t="shared" si="2"/>
        <v>2.2855573090077739</v>
      </c>
      <c r="Y15">
        <f t="shared" si="2"/>
        <v>1.1760912590556813</v>
      </c>
    </row>
    <row r="16" spans="1:25" x14ac:dyDescent="0.25">
      <c r="A16">
        <v>16</v>
      </c>
      <c r="B16">
        <v>20131</v>
      </c>
      <c r="C16">
        <v>636896</v>
      </c>
      <c r="D16">
        <v>1011704</v>
      </c>
      <c r="E16">
        <v>218</v>
      </c>
      <c r="F16">
        <v>466</v>
      </c>
      <c r="G16">
        <v>167</v>
      </c>
      <c r="H16">
        <v>109</v>
      </c>
      <c r="I16">
        <v>206</v>
      </c>
      <c r="J16">
        <v>16</v>
      </c>
      <c r="M16">
        <f t="shared" si="3"/>
        <v>4.3038653488427041</v>
      </c>
      <c r="N16">
        <f t="shared" si="0"/>
        <v>5.8040685213250036</v>
      </c>
      <c r="O16">
        <f t="shared" si="0"/>
        <v>6.0050534670785991</v>
      </c>
      <c r="R16">
        <f t="shared" si="4"/>
        <v>2.3384564936046046</v>
      </c>
      <c r="S16">
        <f t="shared" si="1"/>
        <v>2.6683859166900001</v>
      </c>
      <c r="T16">
        <f t="shared" si="1"/>
        <v>2.2227164711475833</v>
      </c>
      <c r="W16">
        <f t="shared" si="5"/>
        <v>2.0374264979406238</v>
      </c>
      <c r="X16">
        <f t="shared" si="2"/>
        <v>2.3138672203691533</v>
      </c>
      <c r="Y16">
        <f t="shared" si="2"/>
        <v>1.2041199826559248</v>
      </c>
    </row>
    <row r="17" spans="1:25" x14ac:dyDescent="0.25">
      <c r="A17">
        <v>17</v>
      </c>
      <c r="B17">
        <v>25350</v>
      </c>
      <c r="C17">
        <v>843497</v>
      </c>
      <c r="D17">
        <v>1348695</v>
      </c>
      <c r="E17">
        <v>232</v>
      </c>
      <c r="F17">
        <v>504</v>
      </c>
      <c r="G17">
        <v>186</v>
      </c>
      <c r="H17">
        <v>116</v>
      </c>
      <c r="I17">
        <v>219</v>
      </c>
      <c r="J17">
        <v>17</v>
      </c>
      <c r="M17">
        <f t="shared" si="3"/>
        <v>4.4039779636693543</v>
      </c>
      <c r="N17">
        <f t="shared" si="0"/>
        <v>5.926083542306575</v>
      </c>
      <c r="O17">
        <f t="shared" si="0"/>
        <v>6.1299137474529397</v>
      </c>
      <c r="R17">
        <f t="shared" si="4"/>
        <v>2.3654879848908998</v>
      </c>
      <c r="S17">
        <f t="shared" si="1"/>
        <v>2.7024305364455254</v>
      </c>
      <c r="T17">
        <f t="shared" si="1"/>
        <v>2.2695129442179165</v>
      </c>
      <c r="W17">
        <f t="shared" si="5"/>
        <v>2.0644579892269186</v>
      </c>
      <c r="X17">
        <f t="shared" si="2"/>
        <v>2.3404441148401185</v>
      </c>
      <c r="Y17">
        <f t="shared" si="2"/>
        <v>1.2304489213782739</v>
      </c>
    </row>
    <row r="18" spans="1:25" x14ac:dyDescent="0.25">
      <c r="A18">
        <v>18</v>
      </c>
      <c r="B18">
        <v>31524</v>
      </c>
      <c r="C18">
        <v>1100393</v>
      </c>
      <c r="D18">
        <v>1770021</v>
      </c>
      <c r="E18">
        <v>246</v>
      </c>
      <c r="F18">
        <v>543</v>
      </c>
      <c r="G18">
        <v>206</v>
      </c>
      <c r="H18">
        <v>123</v>
      </c>
      <c r="I18">
        <v>232</v>
      </c>
      <c r="J18">
        <v>18</v>
      </c>
      <c r="M18">
        <f t="shared" si="3"/>
        <v>4.4986413188336947</v>
      </c>
      <c r="N18">
        <f t="shared" ref="N18:N20" si="6">LOG(C18)</f>
        <v>6.0415478190213152</v>
      </c>
      <c r="O18">
        <f t="shared" ref="O18:O20" si="7">LOG(D18)</f>
        <v>6.2479784189776355</v>
      </c>
      <c r="R18">
        <f t="shared" si="4"/>
        <v>2.3909351071033793</v>
      </c>
      <c r="S18">
        <f t="shared" ref="S18:S20" si="8">LOG(F18)</f>
        <v>2.7347998295888472</v>
      </c>
      <c r="T18">
        <f t="shared" ref="T18:T20" si="9">LOG(G18)</f>
        <v>2.3138672203691533</v>
      </c>
      <c r="W18">
        <f t="shared" si="5"/>
        <v>2.0899051114393981</v>
      </c>
      <c r="X18">
        <f t="shared" ref="X18:X20" si="10">LOG(I18)</f>
        <v>2.3654879848908998</v>
      </c>
      <c r="Y18">
        <f t="shared" ref="Y18:Y20" si="11">LOG(J18)</f>
        <v>1.255272505103306</v>
      </c>
    </row>
    <row r="19" spans="1:25" x14ac:dyDescent="0.25">
      <c r="A19">
        <v>19</v>
      </c>
      <c r="B19">
        <v>38763</v>
      </c>
      <c r="C19">
        <v>1416230</v>
      </c>
      <c r="D19">
        <v>2290602</v>
      </c>
      <c r="E19">
        <v>260</v>
      </c>
      <c r="F19">
        <v>583</v>
      </c>
      <c r="G19">
        <v>227</v>
      </c>
      <c r="H19">
        <v>130</v>
      </c>
      <c r="I19">
        <v>245</v>
      </c>
      <c r="J19">
        <v>19</v>
      </c>
      <c r="M19">
        <f t="shared" si="3"/>
        <v>4.5884173812019249</v>
      </c>
      <c r="N19">
        <f t="shared" si="6"/>
        <v>6.151133789808104</v>
      </c>
      <c r="O19">
        <f t="shared" si="7"/>
        <v>6.3599496355798379</v>
      </c>
      <c r="R19">
        <f t="shared" si="4"/>
        <v>2.4149733479708178</v>
      </c>
      <c r="S19">
        <f t="shared" si="8"/>
        <v>2.7656685547590141</v>
      </c>
      <c r="T19">
        <f t="shared" si="9"/>
        <v>2.3560258571931225</v>
      </c>
      <c r="W19">
        <f t="shared" si="5"/>
        <v>2.1139433523068369</v>
      </c>
      <c r="X19">
        <f t="shared" si="10"/>
        <v>2.3891660843645326</v>
      </c>
      <c r="Y19">
        <f t="shared" si="11"/>
        <v>1.2787536009528289</v>
      </c>
    </row>
    <row r="20" spans="1:25" x14ac:dyDescent="0.25">
      <c r="A20">
        <v>20</v>
      </c>
      <c r="B20">
        <v>47183</v>
      </c>
      <c r="C20">
        <v>1800590</v>
      </c>
      <c r="D20">
        <v>2927022</v>
      </c>
      <c r="E20">
        <v>274</v>
      </c>
      <c r="F20">
        <v>624</v>
      </c>
      <c r="G20">
        <v>249</v>
      </c>
      <c r="H20">
        <v>137</v>
      </c>
      <c r="I20">
        <v>258</v>
      </c>
      <c r="J20">
        <v>20</v>
      </c>
      <c r="M20">
        <f t="shared" si="3"/>
        <v>4.6737855508358148</v>
      </c>
      <c r="N20">
        <f t="shared" si="6"/>
        <v>6.2554148338586577</v>
      </c>
      <c r="O20">
        <f t="shared" si="7"/>
        <v>6.4664259866779652</v>
      </c>
      <c r="R20">
        <f t="shared" si="4"/>
        <v>2.4377505628203879</v>
      </c>
      <c r="S20">
        <f t="shared" si="8"/>
        <v>2.7951845896824241</v>
      </c>
      <c r="T20">
        <f t="shared" si="9"/>
        <v>2.3961993470957363</v>
      </c>
      <c r="W20">
        <f t="shared" si="5"/>
        <v>2.1367205671564067</v>
      </c>
      <c r="X20">
        <f t="shared" si="10"/>
        <v>2.4116197059632301</v>
      </c>
      <c r="Y20">
        <f t="shared" si="11"/>
        <v>1.3010299956639813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Alizhan Sholpanbekov</cp:lastModifiedBy>
  <dcterms:created xsi:type="dcterms:W3CDTF">2015-06-05T18:17:20Z</dcterms:created>
  <dcterms:modified xsi:type="dcterms:W3CDTF">2026-08-26T16:17:23Z</dcterms:modified>
</cp:coreProperties>
</file>