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A:\uni\masters nu\RA\pythonCode\ra\dataCounters\"/>
    </mc:Choice>
  </mc:AlternateContent>
  <xr:revisionPtr revIDLastSave="0" documentId="13_ncr:1_{C05E704F-4164-4413-B847-036682DABD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" i="1" l="1"/>
  <c r="AW2" i="1"/>
  <c r="AV3" i="1"/>
  <c r="AW3" i="1"/>
  <c r="AV4" i="1"/>
  <c r="AW4" i="1"/>
  <c r="AV5" i="1"/>
  <c r="AW5" i="1"/>
  <c r="AV6" i="1"/>
  <c r="AW6" i="1"/>
  <c r="AV7" i="1"/>
  <c r="AW7" i="1"/>
  <c r="AV8" i="1"/>
  <c r="AW8" i="1"/>
  <c r="AV9" i="1"/>
  <c r="AW9" i="1"/>
  <c r="AV10" i="1"/>
  <c r="AW10" i="1"/>
  <c r="AV11" i="1"/>
  <c r="AW11" i="1"/>
  <c r="AV12" i="1"/>
  <c r="AW12" i="1"/>
  <c r="AV13" i="1"/>
  <c r="AW13" i="1"/>
  <c r="AV14" i="1"/>
  <c r="AW14" i="1"/>
  <c r="AV15" i="1"/>
  <c r="AW15" i="1"/>
  <c r="AV16" i="1"/>
  <c r="AW16" i="1"/>
  <c r="AV17" i="1"/>
  <c r="AW17" i="1"/>
  <c r="AV18" i="1"/>
  <c r="AW18" i="1"/>
  <c r="AV19" i="1"/>
  <c r="AW19" i="1"/>
  <c r="AV20" i="1"/>
  <c r="AW20" i="1"/>
  <c r="AU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" i="1"/>
  <c r="AQ2" i="1"/>
  <c r="AR2" i="1"/>
  <c r="AQ3" i="1"/>
  <c r="AR3" i="1"/>
  <c r="AQ4" i="1"/>
  <c r="AR4" i="1"/>
  <c r="AQ5" i="1"/>
  <c r="AR5" i="1"/>
  <c r="AQ6" i="1"/>
  <c r="AR6" i="1"/>
  <c r="AQ7" i="1"/>
  <c r="AR7" i="1"/>
  <c r="AQ8" i="1"/>
  <c r="AR8" i="1"/>
  <c r="AQ9" i="1"/>
  <c r="AR9" i="1"/>
  <c r="AQ10" i="1"/>
  <c r="AR10" i="1"/>
  <c r="AQ11" i="1"/>
  <c r="AR11" i="1"/>
  <c r="AQ12" i="1"/>
  <c r="AR12" i="1"/>
  <c r="AQ13" i="1"/>
  <c r="AR13" i="1"/>
  <c r="AQ14" i="1"/>
  <c r="AR14" i="1"/>
  <c r="AQ15" i="1"/>
  <c r="AR15" i="1"/>
  <c r="AQ16" i="1"/>
  <c r="AR16" i="1"/>
  <c r="AQ17" i="1"/>
  <c r="AR17" i="1"/>
  <c r="AQ18" i="1"/>
  <c r="AR18" i="1"/>
  <c r="AQ19" i="1"/>
  <c r="AR19" i="1"/>
  <c r="AQ20" i="1"/>
  <c r="AR20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" i="1"/>
  <c r="AL2" i="1"/>
  <c r="AM2" i="1"/>
  <c r="AL3" i="1"/>
  <c r="AM3" i="1"/>
  <c r="AL4" i="1"/>
  <c r="AM4" i="1"/>
  <c r="AL5" i="1"/>
  <c r="AM5" i="1"/>
  <c r="AL6" i="1"/>
  <c r="AM6" i="1"/>
  <c r="AL7" i="1"/>
  <c r="AM7" i="1"/>
  <c r="AL8" i="1"/>
  <c r="AM8" i="1"/>
  <c r="AL9" i="1"/>
  <c r="AM9" i="1"/>
  <c r="AL10" i="1"/>
  <c r="AM10" i="1"/>
  <c r="AL11" i="1"/>
  <c r="AM11" i="1"/>
  <c r="AL12" i="1"/>
  <c r="AM12" i="1"/>
  <c r="AL13" i="1"/>
  <c r="AM13" i="1"/>
  <c r="AL14" i="1"/>
  <c r="AM14" i="1"/>
  <c r="AL15" i="1"/>
  <c r="AM15" i="1"/>
  <c r="AL16" i="1"/>
  <c r="AM16" i="1"/>
  <c r="AL17" i="1"/>
  <c r="AM17" i="1"/>
  <c r="AL18" i="1"/>
  <c r="AM18" i="1"/>
  <c r="AL19" i="1"/>
  <c r="AM19" i="1"/>
  <c r="AL20" i="1"/>
  <c r="AM20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" i="1"/>
  <c r="AG2" i="1"/>
  <c r="AH2" i="1"/>
  <c r="AG3" i="1"/>
  <c r="AH3" i="1"/>
  <c r="AG4" i="1"/>
  <c r="AH4" i="1"/>
  <c r="AG5" i="1"/>
  <c r="AH5" i="1"/>
  <c r="AG6" i="1"/>
  <c r="AH6" i="1"/>
  <c r="AG7" i="1"/>
  <c r="AH7" i="1"/>
  <c r="AG8" i="1"/>
  <c r="AH8" i="1"/>
  <c r="AG9" i="1"/>
  <c r="AH9" i="1"/>
  <c r="AG10" i="1"/>
  <c r="AH10" i="1"/>
  <c r="AG11" i="1"/>
  <c r="AH11" i="1"/>
  <c r="AG12" i="1"/>
  <c r="AH12" i="1"/>
  <c r="AG13" i="1"/>
  <c r="AH13" i="1"/>
  <c r="AG14" i="1"/>
  <c r="AH14" i="1"/>
  <c r="AG15" i="1"/>
  <c r="AH15" i="1"/>
  <c r="AG16" i="1"/>
  <c r="AH16" i="1"/>
  <c r="AG17" i="1"/>
  <c r="AH17" i="1"/>
  <c r="AG18" i="1"/>
  <c r="AH18" i="1"/>
  <c r="AG19" i="1"/>
  <c r="AH19" i="1"/>
  <c r="AG20" i="1"/>
  <c r="AH20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" i="1"/>
  <c r="AB2" i="1"/>
  <c r="AC2" i="1"/>
  <c r="AB3" i="1"/>
  <c r="AC3" i="1"/>
  <c r="AB4" i="1"/>
  <c r="AC4" i="1"/>
  <c r="AB5" i="1"/>
  <c r="AC5" i="1"/>
  <c r="AB6" i="1"/>
  <c r="AC6" i="1"/>
  <c r="AB7" i="1"/>
  <c r="AC7" i="1"/>
  <c r="AB8" i="1"/>
  <c r="AC8" i="1"/>
  <c r="AB9" i="1"/>
  <c r="AC9" i="1"/>
  <c r="AB10" i="1"/>
  <c r="AC10" i="1"/>
  <c r="AB11" i="1"/>
  <c r="AC11" i="1"/>
  <c r="AB12" i="1"/>
  <c r="AC12" i="1"/>
  <c r="AB13" i="1"/>
  <c r="AC13" i="1"/>
  <c r="AB14" i="1"/>
  <c r="AC14" i="1"/>
  <c r="AB15" i="1"/>
  <c r="AC15" i="1"/>
  <c r="AB16" i="1"/>
  <c r="AC16" i="1"/>
  <c r="AB17" i="1"/>
  <c r="AC17" i="1"/>
  <c r="AB18" i="1"/>
  <c r="AC18" i="1"/>
  <c r="AB19" i="1"/>
  <c r="AC19" i="1"/>
  <c r="AB20" i="1"/>
  <c r="AC20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" i="1"/>
</calcChain>
</file>

<file path=xl/sharedStrings.xml><?xml version="1.0" encoding="utf-8"?>
<sst xmlns="http://schemas.openxmlformats.org/spreadsheetml/2006/main" count="36" uniqueCount="24">
  <si>
    <t>num_links</t>
  </si>
  <si>
    <t>rlg_AddCount</t>
  </si>
  <si>
    <t>rlg_MultCount</t>
  </si>
  <si>
    <t>rlg_TrigCount</t>
  </si>
  <si>
    <t>rnea_AddCount</t>
  </si>
  <si>
    <t>rnea_MultCount</t>
  </si>
  <si>
    <t>rnea_TrigCount</t>
  </si>
  <si>
    <t>ftst_AddCount</t>
  </si>
  <si>
    <t>ftst_MultCount</t>
  </si>
  <si>
    <t>ftst_TrigCount</t>
  </si>
  <si>
    <t>Add</t>
  </si>
  <si>
    <t>Mult</t>
  </si>
  <si>
    <t>Trig</t>
  </si>
  <si>
    <t>log_LE</t>
  </si>
  <si>
    <t>log_NE</t>
  </si>
  <si>
    <t>log_Ftst</t>
  </si>
  <si>
    <t>gibbs_AddCount</t>
  </si>
  <si>
    <t>gibbs_MultCount</t>
  </si>
  <si>
    <t>gibbs_TrigCount</t>
  </si>
  <si>
    <t>lie_AddCount</t>
  </si>
  <si>
    <t>lie_MultCount</t>
  </si>
  <si>
    <t>lie_TrigCount</t>
  </si>
  <si>
    <t>log_GA</t>
  </si>
  <si>
    <t>log_lie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</si>
</sst>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6">
    <xf numFmtId="0" fontId="0" fillId="0" borderId="0" xfId="0"/>
    <xf numFmtId="0" fontId="2" fillId="2" borderId="0" xfId="1"/>
    <xf numFmtId="0" fontId="4" fillId="4" borderId="0" xfId="3"/>
    <xf numFmtId="0" fontId="3" fillId="3" borderId="0" xfId="2"/>
    <xf numFmtId="0" fontId="1" fillId="5" borderId="0" xfId="4"/>
    <xf numFmtId="0" fontId="1" fillId="6" borderId="0" xfId="5"/>
  </cellXfs>
  <cellStyles count="6">
    <cellStyle name="60% - Accent1" xfId="4" builtinId="32"/>
    <cellStyle name="60% - Accent2" xfId="5" builtinId="36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LE Add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rlg_AddCount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0.21874524159056388"/>
                  <c:y val="-1.2944696112760067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xVal>
          <c:yVal>
            <c:numRef>
              <c:f>Sheet1!$B$2:$B$20</c:f>
              <c:numCache>
                <c:formatCode>General</c:formatCode>
                <c:ptCount val="19"/>
                <c:pt idx="0">
                  <c:v>20</c:v>
                </c:pt>
                <c:pt idx="1">
                  <c:v>59</c:v>
                </c:pt>
                <c:pt idx="2">
                  <c:v>143</c:v>
                </c:pt>
                <c:pt idx="3">
                  <c:v>298</c:v>
                </c:pt>
                <c:pt idx="4">
                  <c:v>556</c:v>
                </c:pt>
                <c:pt idx="5">
                  <c:v>955</c:v>
                </c:pt>
                <c:pt idx="6">
                  <c:v>1539</c:v>
                </c:pt>
                <c:pt idx="7">
                  <c:v>2358</c:v>
                </c:pt>
                <c:pt idx="8">
                  <c:v>3468</c:v>
                </c:pt>
                <c:pt idx="9">
                  <c:v>4931</c:v>
                </c:pt>
                <c:pt idx="10">
                  <c:v>6815</c:v>
                </c:pt>
                <c:pt idx="11">
                  <c:v>9194</c:v>
                </c:pt>
                <c:pt idx="12">
                  <c:v>12148</c:v>
                </c:pt>
                <c:pt idx="13">
                  <c:v>15763</c:v>
                </c:pt>
                <c:pt idx="14">
                  <c:v>20131</c:v>
                </c:pt>
                <c:pt idx="15">
                  <c:v>25350</c:v>
                </c:pt>
                <c:pt idx="16">
                  <c:v>31524</c:v>
                </c:pt>
                <c:pt idx="17">
                  <c:v>38763</c:v>
                </c:pt>
                <c:pt idx="18">
                  <c:v>47183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0D-4F47-80DA-0B884A7C3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551055"/>
        <c:axId val="1125555855"/>
      </c:scatterChart>
      <c:valAx>
        <c:axId val="1125551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N, Number of Links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555855"/>
        <c:crosses val="autoZero"/>
        <c:crossBetween val="midCat"/>
      </c:valAx>
      <c:valAx>
        <c:axId val="112555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Number of Additions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551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NE</a:t>
            </a:r>
            <a:r>
              <a:rPr lang="en-US" b="1" baseline="0"/>
              <a:t> and Featherstone Add Count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327900188946963E-2"/>
          <c:y val="0.14476423756943255"/>
          <c:w val="0.90463319536038389"/>
          <c:h val="0.71670393802656129"/>
        </c:manualLayout>
      </c:layout>
      <c:scatterChart>
        <c:scatterStyle val="lineMarker"/>
        <c:varyColors val="0"/>
        <c:ser>
          <c:idx val="1"/>
          <c:order val="0"/>
          <c:tx>
            <c:strRef>
              <c:f>Sheet1!$E$1</c:f>
              <c:strCache>
                <c:ptCount val="1"/>
                <c:pt idx="0">
                  <c:v>rnea_AddCount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xVal>
          <c:yVal>
            <c:numRef>
              <c:f>Sheet1!$E$2:$E$20</c:f>
              <c:numCache>
                <c:formatCode>General</c:formatCode>
                <c:ptCount val="19"/>
                <c:pt idx="0">
                  <c:v>22</c:v>
                </c:pt>
                <c:pt idx="1">
                  <c:v>36</c:v>
                </c:pt>
                <c:pt idx="2">
                  <c:v>50</c:v>
                </c:pt>
                <c:pt idx="3">
                  <c:v>64</c:v>
                </c:pt>
                <c:pt idx="4">
                  <c:v>78</c:v>
                </c:pt>
                <c:pt idx="5">
                  <c:v>92</c:v>
                </c:pt>
                <c:pt idx="6">
                  <c:v>106</c:v>
                </c:pt>
                <c:pt idx="7">
                  <c:v>120</c:v>
                </c:pt>
                <c:pt idx="8">
                  <c:v>134</c:v>
                </c:pt>
                <c:pt idx="9">
                  <c:v>148</c:v>
                </c:pt>
                <c:pt idx="10">
                  <c:v>162</c:v>
                </c:pt>
                <c:pt idx="11">
                  <c:v>176</c:v>
                </c:pt>
                <c:pt idx="12">
                  <c:v>190</c:v>
                </c:pt>
                <c:pt idx="13">
                  <c:v>204</c:v>
                </c:pt>
                <c:pt idx="14">
                  <c:v>218</c:v>
                </c:pt>
                <c:pt idx="15">
                  <c:v>232</c:v>
                </c:pt>
                <c:pt idx="16">
                  <c:v>246</c:v>
                </c:pt>
                <c:pt idx="17">
                  <c:v>260</c:v>
                </c:pt>
                <c:pt idx="18">
                  <c:v>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4A-4135-80FD-2850A25A980E}"/>
            </c:ext>
          </c:extLst>
        </c:ser>
        <c:ser>
          <c:idx val="2"/>
          <c:order val="1"/>
          <c:tx>
            <c:strRef>
              <c:f>Sheet1!$H$1</c:f>
              <c:strCache>
                <c:ptCount val="1"/>
                <c:pt idx="0">
                  <c:v>ftst_AddCount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6.7749327944176471E-2"/>
                  <c:y val="7.970651812478423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xVal>
          <c:yVal>
            <c:numRef>
              <c:f>Sheet1!$H$2:$H$20</c:f>
              <c:numCache>
                <c:formatCode>General</c:formatCode>
                <c:ptCount val="19"/>
                <c:pt idx="0">
                  <c:v>11</c:v>
                </c:pt>
                <c:pt idx="1">
                  <c:v>18</c:v>
                </c:pt>
                <c:pt idx="2">
                  <c:v>25</c:v>
                </c:pt>
                <c:pt idx="3">
                  <c:v>32</c:v>
                </c:pt>
                <c:pt idx="4">
                  <c:v>39</c:v>
                </c:pt>
                <c:pt idx="5">
                  <c:v>46</c:v>
                </c:pt>
                <c:pt idx="6">
                  <c:v>53</c:v>
                </c:pt>
                <c:pt idx="7">
                  <c:v>60</c:v>
                </c:pt>
                <c:pt idx="8">
                  <c:v>67</c:v>
                </c:pt>
                <c:pt idx="9">
                  <c:v>74</c:v>
                </c:pt>
                <c:pt idx="10">
                  <c:v>81</c:v>
                </c:pt>
                <c:pt idx="11">
                  <c:v>88</c:v>
                </c:pt>
                <c:pt idx="12">
                  <c:v>95</c:v>
                </c:pt>
                <c:pt idx="13">
                  <c:v>102</c:v>
                </c:pt>
                <c:pt idx="14">
                  <c:v>109</c:v>
                </c:pt>
                <c:pt idx="15">
                  <c:v>116</c:v>
                </c:pt>
                <c:pt idx="16">
                  <c:v>123</c:v>
                </c:pt>
                <c:pt idx="17">
                  <c:v>130</c:v>
                </c:pt>
                <c:pt idx="18">
                  <c:v>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E4A-4135-80FD-2850A25A980E}"/>
            </c:ext>
          </c:extLst>
        </c:ser>
        <c:ser>
          <c:idx val="0"/>
          <c:order val="2"/>
          <c:tx>
            <c:strRef>
              <c:f>Sheet1!$K$1</c:f>
              <c:strCache>
                <c:ptCount val="1"/>
                <c:pt idx="0">
                  <c:v>gibbs_AddCount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7.6735428069556128E-3"/>
                  <c:y val="-8.233271182929355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xVal>
          <c:yVal>
            <c:numRef>
              <c:f>Sheet1!$K$2:$K$20</c:f>
              <c:numCache>
                <c:formatCode>General</c:formatCode>
                <c:ptCount val="19"/>
                <c:pt idx="0">
                  <c:v>30</c:v>
                </c:pt>
                <c:pt idx="1">
                  <c:v>45</c:v>
                </c:pt>
                <c:pt idx="2">
                  <c:v>60</c:v>
                </c:pt>
                <c:pt idx="3">
                  <c:v>75</c:v>
                </c:pt>
                <c:pt idx="4">
                  <c:v>90</c:v>
                </c:pt>
                <c:pt idx="5">
                  <c:v>105</c:v>
                </c:pt>
                <c:pt idx="6">
                  <c:v>120</c:v>
                </c:pt>
                <c:pt idx="7">
                  <c:v>135</c:v>
                </c:pt>
                <c:pt idx="8">
                  <c:v>150</c:v>
                </c:pt>
                <c:pt idx="9">
                  <c:v>165</c:v>
                </c:pt>
                <c:pt idx="10">
                  <c:v>180</c:v>
                </c:pt>
                <c:pt idx="11">
                  <c:v>195</c:v>
                </c:pt>
                <c:pt idx="12">
                  <c:v>210</c:v>
                </c:pt>
                <c:pt idx="13">
                  <c:v>225</c:v>
                </c:pt>
                <c:pt idx="14">
                  <c:v>240</c:v>
                </c:pt>
                <c:pt idx="15">
                  <c:v>255</c:v>
                </c:pt>
                <c:pt idx="16">
                  <c:v>270</c:v>
                </c:pt>
                <c:pt idx="17">
                  <c:v>285</c:v>
                </c:pt>
                <c:pt idx="18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BA-4E4F-B27A-F2B0E5FEA109}"/>
            </c:ext>
          </c:extLst>
        </c:ser>
        <c:ser>
          <c:idx val="3"/>
          <c:order val="3"/>
          <c:tx>
            <c:strRef>
              <c:f>Sheet1!$N$1</c:f>
              <c:strCache>
                <c:ptCount val="1"/>
                <c:pt idx="0">
                  <c:v>lie_AddCount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xVal>
          <c:yVal>
            <c:numRef>
              <c:f>Sheet1!$N$2:$N$20</c:f>
              <c:numCache>
                <c:formatCode>General</c:formatCode>
                <c:ptCount val="19"/>
                <c:pt idx="0">
                  <c:v>13</c:v>
                </c:pt>
                <c:pt idx="1">
                  <c:v>20</c:v>
                </c:pt>
                <c:pt idx="2">
                  <c:v>27</c:v>
                </c:pt>
                <c:pt idx="3">
                  <c:v>34</c:v>
                </c:pt>
                <c:pt idx="4">
                  <c:v>41</c:v>
                </c:pt>
                <c:pt idx="5">
                  <c:v>48</c:v>
                </c:pt>
                <c:pt idx="6">
                  <c:v>55</c:v>
                </c:pt>
                <c:pt idx="7">
                  <c:v>62</c:v>
                </c:pt>
                <c:pt idx="8">
                  <c:v>69</c:v>
                </c:pt>
                <c:pt idx="9">
                  <c:v>76</c:v>
                </c:pt>
                <c:pt idx="10">
                  <c:v>83</c:v>
                </c:pt>
                <c:pt idx="11">
                  <c:v>90</c:v>
                </c:pt>
                <c:pt idx="12">
                  <c:v>97</c:v>
                </c:pt>
                <c:pt idx="13">
                  <c:v>104</c:v>
                </c:pt>
                <c:pt idx="14">
                  <c:v>111</c:v>
                </c:pt>
                <c:pt idx="15">
                  <c:v>118</c:v>
                </c:pt>
                <c:pt idx="16">
                  <c:v>125</c:v>
                </c:pt>
                <c:pt idx="17">
                  <c:v>132</c:v>
                </c:pt>
                <c:pt idx="18">
                  <c:v>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BA-4E4F-B27A-F2B0E5FEA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551055"/>
        <c:axId val="1125555855"/>
      </c:scatterChart>
      <c:valAx>
        <c:axId val="1125551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N, Number of Links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555855"/>
        <c:crosses val="autoZero"/>
        <c:crossBetween val="midCat"/>
      </c:valAx>
      <c:valAx>
        <c:axId val="112555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Additions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551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1003196634319017"/>
          <c:y val="0.15783933841821754"/>
          <c:w val="0.15936309366609391"/>
          <c:h val="0.36842358601727238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LE Multiplication</a:t>
            </a:r>
            <a:r>
              <a:rPr lang="en-US" b="1" baseline="0"/>
              <a:t> Count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rlg_MultCount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xVal>
          <c:yVal>
            <c:numRef>
              <c:f>Sheet1!$C$2:$C$20</c:f>
              <c:numCache>
                <c:formatCode>General</c:formatCode>
                <c:ptCount val="19"/>
                <c:pt idx="0">
                  <c:v>113</c:v>
                </c:pt>
                <c:pt idx="1">
                  <c:v>494</c:v>
                </c:pt>
                <c:pt idx="2">
                  <c:v>1526</c:v>
                </c:pt>
                <c:pt idx="3">
                  <c:v>3791</c:v>
                </c:pt>
                <c:pt idx="4">
                  <c:v>8135</c:v>
                </c:pt>
                <c:pt idx="5">
                  <c:v>15716</c:v>
                </c:pt>
                <c:pt idx="6">
                  <c:v>28052</c:v>
                </c:pt>
                <c:pt idx="7">
                  <c:v>47069</c:v>
                </c:pt>
                <c:pt idx="8">
                  <c:v>75149</c:v>
                </c:pt>
                <c:pt idx="9">
                  <c:v>115178</c:v>
                </c:pt>
                <c:pt idx="10">
                  <c:v>170594</c:v>
                </c:pt>
                <c:pt idx="11">
                  <c:v>245435</c:v>
                </c:pt>
                <c:pt idx="12">
                  <c:v>344387</c:v>
                </c:pt>
                <c:pt idx="13">
                  <c:v>472832</c:v>
                </c:pt>
                <c:pt idx="14">
                  <c:v>636896</c:v>
                </c:pt>
                <c:pt idx="15">
                  <c:v>843497</c:v>
                </c:pt>
                <c:pt idx="16">
                  <c:v>1100393</c:v>
                </c:pt>
                <c:pt idx="17">
                  <c:v>1416230</c:v>
                </c:pt>
                <c:pt idx="18">
                  <c:v>1800590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D2-46F4-9D37-4434118E5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143519"/>
        <c:axId val="1186143999"/>
      </c:scatterChart>
      <c:valAx>
        <c:axId val="1186143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N, Number of Links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143999"/>
        <c:crosses val="autoZero"/>
        <c:crossBetween val="midCat"/>
      </c:valAx>
      <c:valAx>
        <c:axId val="118614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Additions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143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NE</a:t>
            </a:r>
            <a:r>
              <a:rPr lang="en-US" sz="1400" b="1" baseline="0"/>
              <a:t> and Featherstone Multiplication Count</a:t>
            </a:r>
            <a:endParaRPr 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Sheet1!$F$1</c:f>
              <c:strCache>
                <c:ptCount val="1"/>
                <c:pt idx="0">
                  <c:v>rnea_MultCount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xVal>
          <c:yVal>
            <c:numRef>
              <c:f>Sheet1!$F$2:$F$20</c:f>
              <c:numCache>
                <c:formatCode>General</c:formatCode>
                <c:ptCount val="19"/>
                <c:pt idx="0">
                  <c:v>39</c:v>
                </c:pt>
                <c:pt idx="1">
                  <c:v>63</c:v>
                </c:pt>
                <c:pt idx="2">
                  <c:v>88</c:v>
                </c:pt>
                <c:pt idx="3">
                  <c:v>114</c:v>
                </c:pt>
                <c:pt idx="4">
                  <c:v>141</c:v>
                </c:pt>
                <c:pt idx="5">
                  <c:v>169</c:v>
                </c:pt>
                <c:pt idx="6">
                  <c:v>198</c:v>
                </c:pt>
                <c:pt idx="7">
                  <c:v>228</c:v>
                </c:pt>
                <c:pt idx="8">
                  <c:v>259</c:v>
                </c:pt>
                <c:pt idx="9">
                  <c:v>291</c:v>
                </c:pt>
                <c:pt idx="10">
                  <c:v>324</c:v>
                </c:pt>
                <c:pt idx="11">
                  <c:v>358</c:v>
                </c:pt>
                <c:pt idx="12">
                  <c:v>393</c:v>
                </c:pt>
                <c:pt idx="13">
                  <c:v>429</c:v>
                </c:pt>
                <c:pt idx="14">
                  <c:v>466</c:v>
                </c:pt>
                <c:pt idx="15">
                  <c:v>504</c:v>
                </c:pt>
                <c:pt idx="16">
                  <c:v>543</c:v>
                </c:pt>
                <c:pt idx="17">
                  <c:v>583</c:v>
                </c:pt>
                <c:pt idx="18">
                  <c:v>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A3-467A-9206-586B1E479F89}"/>
            </c:ext>
          </c:extLst>
        </c:ser>
        <c:ser>
          <c:idx val="2"/>
          <c:order val="1"/>
          <c:tx>
            <c:strRef>
              <c:f>Sheet1!$I$1</c:f>
              <c:strCache>
                <c:ptCount val="1"/>
                <c:pt idx="0">
                  <c:v>ftst_MultCount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xVal>
          <c:yVal>
            <c:numRef>
              <c:f>Sheet1!$I$2:$I$20</c:f>
              <c:numCache>
                <c:formatCode>General</c:formatCode>
                <c:ptCount val="19"/>
                <c:pt idx="0">
                  <c:v>24</c:v>
                </c:pt>
                <c:pt idx="1">
                  <c:v>37</c:v>
                </c:pt>
                <c:pt idx="2">
                  <c:v>50</c:v>
                </c:pt>
                <c:pt idx="3">
                  <c:v>63</c:v>
                </c:pt>
                <c:pt idx="4">
                  <c:v>76</c:v>
                </c:pt>
                <c:pt idx="5">
                  <c:v>89</c:v>
                </c:pt>
                <c:pt idx="6">
                  <c:v>102</c:v>
                </c:pt>
                <c:pt idx="7">
                  <c:v>115</c:v>
                </c:pt>
                <c:pt idx="8">
                  <c:v>128</c:v>
                </c:pt>
                <c:pt idx="9">
                  <c:v>141</c:v>
                </c:pt>
                <c:pt idx="10">
                  <c:v>154</c:v>
                </c:pt>
                <c:pt idx="11">
                  <c:v>167</c:v>
                </c:pt>
                <c:pt idx="12">
                  <c:v>180</c:v>
                </c:pt>
                <c:pt idx="13">
                  <c:v>193</c:v>
                </c:pt>
                <c:pt idx="14">
                  <c:v>206</c:v>
                </c:pt>
                <c:pt idx="15">
                  <c:v>219</c:v>
                </c:pt>
                <c:pt idx="16">
                  <c:v>232</c:v>
                </c:pt>
                <c:pt idx="17">
                  <c:v>245</c:v>
                </c:pt>
                <c:pt idx="18">
                  <c:v>258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2A3-467A-9206-586B1E479F89}"/>
            </c:ext>
          </c:extLst>
        </c:ser>
        <c:ser>
          <c:idx val="0"/>
          <c:order val="2"/>
          <c:tx>
            <c:strRef>
              <c:f>Sheet1!$L$1</c:f>
              <c:strCache>
                <c:ptCount val="1"/>
                <c:pt idx="0">
                  <c:v>gibbs_MultCount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xVal>
          <c:yVal>
            <c:numRef>
              <c:f>Sheet1!$L$2:$L$20</c:f>
              <c:numCache>
                <c:formatCode>General</c:formatCode>
                <c:ptCount val="19"/>
                <c:pt idx="0">
                  <c:v>40</c:v>
                </c:pt>
                <c:pt idx="1">
                  <c:v>60</c:v>
                </c:pt>
                <c:pt idx="2">
                  <c:v>80</c:v>
                </c:pt>
                <c:pt idx="3">
                  <c:v>100</c:v>
                </c:pt>
                <c:pt idx="4">
                  <c:v>120</c:v>
                </c:pt>
                <c:pt idx="5">
                  <c:v>140</c:v>
                </c:pt>
                <c:pt idx="6">
                  <c:v>160</c:v>
                </c:pt>
                <c:pt idx="7">
                  <c:v>180</c:v>
                </c:pt>
                <c:pt idx="8">
                  <c:v>200</c:v>
                </c:pt>
                <c:pt idx="9">
                  <c:v>220</c:v>
                </c:pt>
                <c:pt idx="10">
                  <c:v>240</c:v>
                </c:pt>
                <c:pt idx="11">
                  <c:v>260</c:v>
                </c:pt>
                <c:pt idx="12">
                  <c:v>280</c:v>
                </c:pt>
                <c:pt idx="13">
                  <c:v>300</c:v>
                </c:pt>
                <c:pt idx="14">
                  <c:v>320</c:v>
                </c:pt>
                <c:pt idx="15">
                  <c:v>340</c:v>
                </c:pt>
                <c:pt idx="16">
                  <c:v>360</c:v>
                </c:pt>
                <c:pt idx="17">
                  <c:v>380</c:v>
                </c:pt>
                <c:pt idx="18">
                  <c:v>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54-42EF-90A5-08EE8D7EA22E}"/>
            </c:ext>
          </c:extLst>
        </c:ser>
        <c:ser>
          <c:idx val="3"/>
          <c:order val="3"/>
          <c:tx>
            <c:strRef>
              <c:f>Sheet1!$O$1</c:f>
              <c:strCache>
                <c:ptCount val="1"/>
                <c:pt idx="0">
                  <c:v>lie_MultCount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xVal>
          <c:yVal>
            <c:numRef>
              <c:f>Sheet1!$O$2:$O$20</c:f>
              <c:numCache>
                <c:formatCode>General</c:formatCode>
                <c:ptCount val="19"/>
                <c:pt idx="0">
                  <c:v>25</c:v>
                </c:pt>
                <c:pt idx="1">
                  <c:v>38</c:v>
                </c:pt>
                <c:pt idx="2">
                  <c:v>51</c:v>
                </c:pt>
                <c:pt idx="3">
                  <c:v>64</c:v>
                </c:pt>
                <c:pt idx="4">
                  <c:v>77</c:v>
                </c:pt>
                <c:pt idx="5">
                  <c:v>90</c:v>
                </c:pt>
                <c:pt idx="6">
                  <c:v>103</c:v>
                </c:pt>
                <c:pt idx="7">
                  <c:v>116</c:v>
                </c:pt>
                <c:pt idx="8">
                  <c:v>129</c:v>
                </c:pt>
                <c:pt idx="9">
                  <c:v>142</c:v>
                </c:pt>
                <c:pt idx="10">
                  <c:v>155</c:v>
                </c:pt>
                <c:pt idx="11">
                  <c:v>168</c:v>
                </c:pt>
                <c:pt idx="12">
                  <c:v>181</c:v>
                </c:pt>
                <c:pt idx="13">
                  <c:v>194</c:v>
                </c:pt>
                <c:pt idx="14">
                  <c:v>207</c:v>
                </c:pt>
                <c:pt idx="15">
                  <c:v>220</c:v>
                </c:pt>
                <c:pt idx="16">
                  <c:v>233</c:v>
                </c:pt>
                <c:pt idx="17">
                  <c:v>246</c:v>
                </c:pt>
                <c:pt idx="18">
                  <c:v>259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354-42EF-90A5-08EE8D7EA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551055"/>
        <c:axId val="1125555855"/>
      </c:scatterChart>
      <c:valAx>
        <c:axId val="1125551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N, Number of Links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555855"/>
        <c:crosses val="autoZero"/>
        <c:crossBetween val="midCat"/>
      </c:valAx>
      <c:valAx>
        <c:axId val="112555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Additions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551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1411552369513132"/>
          <c:y val="0.15783933841821757"/>
          <c:w val="0.14884655619588774"/>
          <c:h val="0.315791645157662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LE Rotation Matrix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rlg_TrigCount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xVal>
          <c:yVal>
            <c:numRef>
              <c:f>Sheet1!$D$2:$D$20</c:f>
              <c:numCache>
                <c:formatCode>General</c:formatCode>
                <c:ptCount val="19"/>
                <c:pt idx="0">
                  <c:v>141</c:v>
                </c:pt>
                <c:pt idx="1">
                  <c:v>642</c:v>
                </c:pt>
                <c:pt idx="2">
                  <c:v>2038</c:v>
                </c:pt>
                <c:pt idx="3">
                  <c:v>5193</c:v>
                </c:pt>
                <c:pt idx="4">
                  <c:v>11403</c:v>
                </c:pt>
                <c:pt idx="5">
                  <c:v>22484</c:v>
                </c:pt>
                <c:pt idx="6">
                  <c:v>40860</c:v>
                </c:pt>
                <c:pt idx="7">
                  <c:v>69651</c:v>
                </c:pt>
                <c:pt idx="8">
                  <c:v>112761</c:v>
                </c:pt>
                <c:pt idx="9">
                  <c:v>174966</c:v>
                </c:pt>
                <c:pt idx="10">
                  <c:v>262002</c:v>
                </c:pt>
                <c:pt idx="11">
                  <c:v>380653</c:v>
                </c:pt>
                <c:pt idx="12">
                  <c:v>538839</c:v>
                </c:pt>
                <c:pt idx="13">
                  <c:v>745704</c:v>
                </c:pt>
                <c:pt idx="14">
                  <c:v>1011704</c:v>
                </c:pt>
                <c:pt idx="15">
                  <c:v>1348695</c:v>
                </c:pt>
                <c:pt idx="16">
                  <c:v>1770021</c:v>
                </c:pt>
                <c:pt idx="17">
                  <c:v>2290602</c:v>
                </c:pt>
                <c:pt idx="18">
                  <c:v>2927022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53-437F-90BD-FECF69045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143519"/>
        <c:axId val="1186143999"/>
      </c:scatterChart>
      <c:valAx>
        <c:axId val="1186143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N, Number of Links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143999"/>
        <c:crosses val="autoZero"/>
        <c:crossBetween val="midCat"/>
      </c:valAx>
      <c:valAx>
        <c:axId val="118614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Number of Rotation</a:t>
                </a:r>
                <a:r>
                  <a:rPr lang="en-US" sz="1200" b="1" baseline="0"/>
                  <a:t> Matrices</a:t>
                </a:r>
                <a:endParaRPr lang="en-U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143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NE and Featherstone</a:t>
            </a:r>
            <a:r>
              <a:rPr lang="en-US" b="1" baseline="0"/>
              <a:t> Rotation Matrix Count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Sheet1!$G$1</c:f>
              <c:strCache>
                <c:ptCount val="1"/>
                <c:pt idx="0">
                  <c:v>rnea_TrigCount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xVal>
          <c:yVal>
            <c:numRef>
              <c:f>Sheet1!$G$2:$G$20</c:f>
              <c:numCache>
                <c:formatCode>General</c:formatCode>
                <c:ptCount val="19"/>
                <c:pt idx="0">
                  <c:v>6</c:v>
                </c:pt>
                <c:pt idx="1">
                  <c:v>11</c:v>
                </c:pt>
                <c:pt idx="2">
                  <c:v>17</c:v>
                </c:pt>
                <c:pt idx="3">
                  <c:v>24</c:v>
                </c:pt>
                <c:pt idx="4">
                  <c:v>32</c:v>
                </c:pt>
                <c:pt idx="5">
                  <c:v>41</c:v>
                </c:pt>
                <c:pt idx="6">
                  <c:v>51</c:v>
                </c:pt>
                <c:pt idx="7">
                  <c:v>62</c:v>
                </c:pt>
                <c:pt idx="8">
                  <c:v>74</c:v>
                </c:pt>
                <c:pt idx="9">
                  <c:v>87</c:v>
                </c:pt>
                <c:pt idx="10">
                  <c:v>101</c:v>
                </c:pt>
                <c:pt idx="11">
                  <c:v>116</c:v>
                </c:pt>
                <c:pt idx="12">
                  <c:v>132</c:v>
                </c:pt>
                <c:pt idx="13">
                  <c:v>149</c:v>
                </c:pt>
                <c:pt idx="14">
                  <c:v>167</c:v>
                </c:pt>
                <c:pt idx="15">
                  <c:v>186</c:v>
                </c:pt>
                <c:pt idx="16">
                  <c:v>206</c:v>
                </c:pt>
                <c:pt idx="17">
                  <c:v>227</c:v>
                </c:pt>
                <c:pt idx="18">
                  <c:v>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98-4C51-91A9-5CF25CC53A49}"/>
            </c:ext>
          </c:extLst>
        </c:ser>
        <c:ser>
          <c:idx val="2"/>
          <c:order val="1"/>
          <c:tx>
            <c:strRef>
              <c:f>Sheet1!$J$1</c:f>
              <c:strCache>
                <c:ptCount val="1"/>
                <c:pt idx="0">
                  <c:v>ftst_TrigCount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xVal>
          <c:yVal>
            <c:numRef>
              <c:f>Sheet1!$J$2:$J$20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C98-4C51-91A9-5CF25CC53A49}"/>
            </c:ext>
          </c:extLst>
        </c:ser>
        <c:ser>
          <c:idx val="0"/>
          <c:order val="2"/>
          <c:tx>
            <c:strRef>
              <c:f>Sheet1!$M$1</c:f>
              <c:strCache>
                <c:ptCount val="1"/>
                <c:pt idx="0">
                  <c:v>gibbs_TrigCount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xVal>
          <c:yVal>
            <c:numRef>
              <c:f>Sheet1!$M$2:$M$20</c:f>
              <c:numCache>
                <c:formatCode>General</c:formatCode>
                <c:ptCount val="19"/>
                <c:pt idx="0">
                  <c:v>6</c:v>
                </c:pt>
                <c:pt idx="1">
                  <c:v>9</c:v>
                </c:pt>
                <c:pt idx="2">
                  <c:v>12</c:v>
                </c:pt>
                <c:pt idx="3">
                  <c:v>15</c:v>
                </c:pt>
                <c:pt idx="4">
                  <c:v>18</c:v>
                </c:pt>
                <c:pt idx="5">
                  <c:v>21</c:v>
                </c:pt>
                <c:pt idx="6">
                  <c:v>24</c:v>
                </c:pt>
                <c:pt idx="7">
                  <c:v>27</c:v>
                </c:pt>
                <c:pt idx="8">
                  <c:v>30</c:v>
                </c:pt>
                <c:pt idx="9">
                  <c:v>33</c:v>
                </c:pt>
                <c:pt idx="10">
                  <c:v>36</c:v>
                </c:pt>
                <c:pt idx="11">
                  <c:v>39</c:v>
                </c:pt>
                <c:pt idx="12">
                  <c:v>42</c:v>
                </c:pt>
                <c:pt idx="13">
                  <c:v>45</c:v>
                </c:pt>
                <c:pt idx="14">
                  <c:v>48</c:v>
                </c:pt>
                <c:pt idx="15">
                  <c:v>51</c:v>
                </c:pt>
                <c:pt idx="16">
                  <c:v>54</c:v>
                </c:pt>
                <c:pt idx="17">
                  <c:v>57</c:v>
                </c:pt>
                <c:pt idx="18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3FD-4BDB-8291-2605049DB2F0}"/>
            </c:ext>
          </c:extLst>
        </c:ser>
        <c:ser>
          <c:idx val="3"/>
          <c:order val="3"/>
          <c:tx>
            <c:strRef>
              <c:f>Sheet1!$P$1</c:f>
              <c:strCache>
                <c:ptCount val="1"/>
                <c:pt idx="0">
                  <c:v>lie_TrigCount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xVal>
          <c:yVal>
            <c:numRef>
              <c:f>Sheet1!$P$2:$P$20</c:f>
              <c:numCache>
                <c:formatCode>General</c:formatCode>
                <c:ptCount val="19"/>
                <c:pt idx="0">
                  <c:v>7</c:v>
                </c:pt>
                <c:pt idx="1">
                  <c:v>11</c:v>
                </c:pt>
                <c:pt idx="2">
                  <c:v>15</c:v>
                </c:pt>
                <c:pt idx="3">
                  <c:v>19</c:v>
                </c:pt>
                <c:pt idx="4">
                  <c:v>23</c:v>
                </c:pt>
                <c:pt idx="5">
                  <c:v>27</c:v>
                </c:pt>
                <c:pt idx="6">
                  <c:v>31</c:v>
                </c:pt>
                <c:pt idx="7">
                  <c:v>35</c:v>
                </c:pt>
                <c:pt idx="8">
                  <c:v>39</c:v>
                </c:pt>
                <c:pt idx="9">
                  <c:v>43</c:v>
                </c:pt>
                <c:pt idx="10">
                  <c:v>47</c:v>
                </c:pt>
                <c:pt idx="11">
                  <c:v>51</c:v>
                </c:pt>
                <c:pt idx="12">
                  <c:v>55</c:v>
                </c:pt>
                <c:pt idx="13">
                  <c:v>59</c:v>
                </c:pt>
                <c:pt idx="14">
                  <c:v>63</c:v>
                </c:pt>
                <c:pt idx="15">
                  <c:v>67</c:v>
                </c:pt>
                <c:pt idx="16">
                  <c:v>71</c:v>
                </c:pt>
                <c:pt idx="17">
                  <c:v>75</c:v>
                </c:pt>
                <c:pt idx="18">
                  <c:v>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3FD-4BDB-8291-2605049DB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551055"/>
        <c:axId val="1125555855"/>
      </c:scatterChart>
      <c:valAx>
        <c:axId val="1125551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N, Number of Links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555855"/>
        <c:crosses val="autoZero"/>
        <c:crossBetween val="midCat"/>
      </c:valAx>
      <c:valAx>
        <c:axId val="112555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Number of Rotation Matrices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551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Log Count of</a:t>
            </a:r>
            <a:r>
              <a:rPr lang="en-US" sz="1600" b="1" baseline="0">
                <a:solidFill>
                  <a:schemeClr val="tx1"/>
                </a:solidFill>
              </a:rPr>
              <a:t> Additions vs N</a:t>
            </a:r>
            <a:endParaRPr lang="en-US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LE Add</c:v>
          </c:tx>
          <c:spPr>
            <a:ln w="412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cat>
          <c:val>
            <c:numRef>
              <c:f>Sheet1!$AA$2:$AA$20</c:f>
              <c:numCache>
                <c:formatCode>General</c:formatCode>
                <c:ptCount val="19"/>
                <c:pt idx="0">
                  <c:v>1.3010299956639813</c:v>
                </c:pt>
                <c:pt idx="1">
                  <c:v>1.7708520116421442</c:v>
                </c:pt>
                <c:pt idx="2">
                  <c:v>2.1553360374650619</c:v>
                </c:pt>
                <c:pt idx="3">
                  <c:v>2.4742162640762553</c:v>
                </c:pt>
                <c:pt idx="4">
                  <c:v>2.7450747915820575</c:v>
                </c:pt>
                <c:pt idx="5">
                  <c:v>2.9800033715837464</c:v>
                </c:pt>
                <c:pt idx="6">
                  <c:v>3.1872386198314788</c:v>
                </c:pt>
                <c:pt idx="7">
                  <c:v>3.3725438007590705</c:v>
                </c:pt>
                <c:pt idx="8">
                  <c:v>3.5400790888041729</c:v>
                </c:pt>
                <c:pt idx="9">
                  <c:v>3.6929350025311378</c:v>
                </c:pt>
                <c:pt idx="10">
                  <c:v>3.8334658601706924</c:v>
                </c:pt>
                <c:pt idx="11">
                  <c:v>3.9635044994142907</c:v>
                </c:pt>
                <c:pt idx="12">
                  <c:v>4.0845047832462278</c:v>
                </c:pt>
                <c:pt idx="13">
                  <c:v>4.1976388755555698</c:v>
                </c:pt>
                <c:pt idx="14">
                  <c:v>4.3038653488427041</c:v>
                </c:pt>
                <c:pt idx="15">
                  <c:v>4.4039779636693543</c:v>
                </c:pt>
                <c:pt idx="16">
                  <c:v>4.4986413188336947</c:v>
                </c:pt>
                <c:pt idx="17">
                  <c:v>4.5884173812019249</c:v>
                </c:pt>
                <c:pt idx="18">
                  <c:v>4.6737855508358148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82-48BD-A375-0041F112F0CE}"/>
            </c:ext>
          </c:extLst>
        </c:ser>
        <c:ser>
          <c:idx val="1"/>
          <c:order val="1"/>
          <c:tx>
            <c:v>NE Add</c:v>
          </c:tx>
          <c:spPr>
            <a:ln w="412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cat>
          <c:val>
            <c:numRef>
              <c:f>Sheet1!$AF$2:$AF$20</c:f>
              <c:numCache>
                <c:formatCode>General</c:formatCode>
                <c:ptCount val="19"/>
                <c:pt idx="0">
                  <c:v>1.3424226808222062</c:v>
                </c:pt>
                <c:pt idx="1">
                  <c:v>1.5563025007672873</c:v>
                </c:pt>
                <c:pt idx="2">
                  <c:v>1.6989700043360187</c:v>
                </c:pt>
                <c:pt idx="3">
                  <c:v>1.8061799739838871</c:v>
                </c:pt>
                <c:pt idx="4">
                  <c:v>1.8920946026904804</c:v>
                </c:pt>
                <c:pt idx="5">
                  <c:v>1.9637878273455553</c:v>
                </c:pt>
                <c:pt idx="6">
                  <c:v>2.0253058652647704</c:v>
                </c:pt>
                <c:pt idx="7">
                  <c:v>2.0791812460476247</c:v>
                </c:pt>
                <c:pt idx="8">
                  <c:v>2.1271047983648077</c:v>
                </c:pt>
                <c:pt idx="9">
                  <c:v>2.1702617153949575</c:v>
                </c:pt>
                <c:pt idx="10">
                  <c:v>2.2095150145426308</c:v>
                </c:pt>
                <c:pt idx="11">
                  <c:v>2.2455126678141499</c:v>
                </c:pt>
                <c:pt idx="12">
                  <c:v>2.2787536009528289</c:v>
                </c:pt>
                <c:pt idx="13">
                  <c:v>2.3096301674258988</c:v>
                </c:pt>
                <c:pt idx="14">
                  <c:v>2.3384564936046046</c:v>
                </c:pt>
                <c:pt idx="15">
                  <c:v>2.3654879848908998</c:v>
                </c:pt>
                <c:pt idx="16">
                  <c:v>2.3909351071033793</c:v>
                </c:pt>
                <c:pt idx="17">
                  <c:v>2.4149733479708178</c:v>
                </c:pt>
                <c:pt idx="18">
                  <c:v>2.4377505628203879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82-48BD-A375-0041F112F0CE}"/>
            </c:ext>
          </c:extLst>
        </c:ser>
        <c:ser>
          <c:idx val="2"/>
          <c:order val="2"/>
          <c:tx>
            <c:v>Featherstone Add</c:v>
          </c:tx>
          <c:spPr>
            <a:ln w="412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cat>
          <c:val>
            <c:numRef>
              <c:f>Sheet1!$AK$2:$AK$20</c:f>
              <c:numCache>
                <c:formatCode>General</c:formatCode>
                <c:ptCount val="19"/>
                <c:pt idx="0">
                  <c:v>1.0413926851582251</c:v>
                </c:pt>
                <c:pt idx="1">
                  <c:v>1.255272505103306</c:v>
                </c:pt>
                <c:pt idx="2">
                  <c:v>1.3979400086720377</c:v>
                </c:pt>
                <c:pt idx="3">
                  <c:v>1.505149978319906</c:v>
                </c:pt>
                <c:pt idx="4">
                  <c:v>1.5910646070264991</c:v>
                </c:pt>
                <c:pt idx="5">
                  <c:v>1.6627578316815741</c:v>
                </c:pt>
                <c:pt idx="6">
                  <c:v>1.7242758696007889</c:v>
                </c:pt>
                <c:pt idx="7">
                  <c:v>1.7781512503836436</c:v>
                </c:pt>
                <c:pt idx="8">
                  <c:v>1.8260748027008264</c:v>
                </c:pt>
                <c:pt idx="9">
                  <c:v>1.8692317197309762</c:v>
                </c:pt>
                <c:pt idx="10">
                  <c:v>1.9084850188786497</c:v>
                </c:pt>
                <c:pt idx="11">
                  <c:v>1.9444826721501687</c:v>
                </c:pt>
                <c:pt idx="12">
                  <c:v>1.9777236052888478</c:v>
                </c:pt>
                <c:pt idx="13">
                  <c:v>2.0086001717619175</c:v>
                </c:pt>
                <c:pt idx="14">
                  <c:v>2.0374264979406238</c:v>
                </c:pt>
                <c:pt idx="15">
                  <c:v>2.0644579892269186</c:v>
                </c:pt>
                <c:pt idx="16">
                  <c:v>2.0899051114393981</c:v>
                </c:pt>
                <c:pt idx="17">
                  <c:v>2.1139433523068369</c:v>
                </c:pt>
                <c:pt idx="18">
                  <c:v>2.1367205671564067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82-48BD-A375-0041F112F0CE}"/>
            </c:ext>
          </c:extLst>
        </c:ser>
        <c:ser>
          <c:idx val="3"/>
          <c:order val="3"/>
          <c:tx>
            <c:v>GA Add</c:v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Sheet1!$AP$2:$AP$20</c:f>
              <c:numCache>
                <c:formatCode>General</c:formatCode>
                <c:ptCount val="19"/>
                <c:pt idx="0">
                  <c:v>1.4771212547196624</c:v>
                </c:pt>
                <c:pt idx="1">
                  <c:v>1.6532125137753437</c:v>
                </c:pt>
                <c:pt idx="2">
                  <c:v>1.7781512503836436</c:v>
                </c:pt>
                <c:pt idx="3">
                  <c:v>1.8750612633917001</c:v>
                </c:pt>
                <c:pt idx="4">
                  <c:v>1.954242509439325</c:v>
                </c:pt>
                <c:pt idx="5">
                  <c:v>2.0211892990699383</c:v>
                </c:pt>
                <c:pt idx="6">
                  <c:v>2.0791812460476247</c:v>
                </c:pt>
                <c:pt idx="7">
                  <c:v>2.1303337684950061</c:v>
                </c:pt>
                <c:pt idx="8">
                  <c:v>2.1760912590556813</c:v>
                </c:pt>
                <c:pt idx="9">
                  <c:v>2.2174839442139063</c:v>
                </c:pt>
                <c:pt idx="10">
                  <c:v>2.255272505103306</c:v>
                </c:pt>
                <c:pt idx="11">
                  <c:v>2.2900346113625178</c:v>
                </c:pt>
                <c:pt idx="12">
                  <c:v>2.3222192947339191</c:v>
                </c:pt>
                <c:pt idx="13">
                  <c:v>2.3521825181113627</c:v>
                </c:pt>
                <c:pt idx="14">
                  <c:v>2.3802112417116059</c:v>
                </c:pt>
                <c:pt idx="15">
                  <c:v>2.406540180433955</c:v>
                </c:pt>
                <c:pt idx="16">
                  <c:v>2.4313637641589874</c:v>
                </c:pt>
                <c:pt idx="17">
                  <c:v>2.4548448600085102</c:v>
                </c:pt>
                <c:pt idx="18">
                  <c:v>2.4771212547196626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8B-47B5-A9C7-E47B4C75958F}"/>
            </c:ext>
          </c:extLst>
        </c:ser>
        <c:ser>
          <c:idx val="4"/>
          <c:order val="4"/>
          <c:tx>
            <c:v>Lie Group Add</c:v>
          </c:tx>
          <c:spPr>
            <a:ln w="28575" cap="rnd">
              <a:solidFill>
                <a:srgbClr val="00FFFF"/>
              </a:solidFill>
              <a:round/>
            </a:ln>
            <a:effectLst/>
          </c:spPr>
          <c:marker>
            <c:symbol val="none"/>
          </c:marker>
          <c:val>
            <c:numRef>
              <c:f>Sheet1!$AU$2:$AU$21</c:f>
              <c:numCache>
                <c:formatCode>General</c:formatCode>
                <c:ptCount val="20"/>
                <c:pt idx="0">
                  <c:v>1.1139433523068367</c:v>
                </c:pt>
                <c:pt idx="1">
                  <c:v>1.3010299956639813</c:v>
                </c:pt>
                <c:pt idx="2">
                  <c:v>1.4313637641589874</c:v>
                </c:pt>
                <c:pt idx="3">
                  <c:v>1.5314789170422551</c:v>
                </c:pt>
                <c:pt idx="4">
                  <c:v>1.6127838567197355</c:v>
                </c:pt>
                <c:pt idx="5">
                  <c:v>1.6812412373755872</c:v>
                </c:pt>
                <c:pt idx="6">
                  <c:v>1.7403626894942439</c:v>
                </c:pt>
                <c:pt idx="7">
                  <c:v>1.7923916894982539</c:v>
                </c:pt>
                <c:pt idx="8">
                  <c:v>1.8388490907372552</c:v>
                </c:pt>
                <c:pt idx="9">
                  <c:v>1.8808135922807914</c:v>
                </c:pt>
                <c:pt idx="10">
                  <c:v>1.919078092376074</c:v>
                </c:pt>
                <c:pt idx="11">
                  <c:v>1.954242509439325</c:v>
                </c:pt>
                <c:pt idx="12">
                  <c:v>1.9867717342662448</c:v>
                </c:pt>
                <c:pt idx="13">
                  <c:v>2.0170333392987803</c:v>
                </c:pt>
                <c:pt idx="14">
                  <c:v>2.0453229787866576</c:v>
                </c:pt>
                <c:pt idx="15">
                  <c:v>2.0718820073061255</c:v>
                </c:pt>
                <c:pt idx="16">
                  <c:v>2.0969100130080562</c:v>
                </c:pt>
                <c:pt idx="17">
                  <c:v>2.12057393120585</c:v>
                </c:pt>
                <c:pt idx="18">
                  <c:v>2.143014800254095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8B-47B5-A9C7-E47B4C759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468127"/>
        <c:axId val="1128951231"/>
      </c:lineChart>
      <c:catAx>
        <c:axId val="1130468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solidFill>
                      <a:schemeClr val="tx1"/>
                    </a:solidFill>
                  </a:rPr>
                  <a:t>N, Number of Links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951231"/>
        <c:crosses val="autoZero"/>
        <c:auto val="1"/>
        <c:lblAlgn val="ctr"/>
        <c:lblOffset val="100"/>
        <c:noMultiLvlLbl val="0"/>
      </c:catAx>
      <c:valAx>
        <c:axId val="112895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solidFill>
                      <a:schemeClr val="tx1"/>
                    </a:solidFill>
                  </a:rPr>
                  <a:t>Log</a:t>
                </a:r>
                <a:r>
                  <a:rPr lang="en-US" sz="1600" b="1" baseline="0">
                    <a:solidFill>
                      <a:schemeClr val="tx1"/>
                    </a:solidFill>
                  </a:rPr>
                  <a:t> Count of Additions</a:t>
                </a:r>
                <a:endParaRPr lang="en-US" sz="16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46812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1667336162403484"/>
          <c:y val="0.12231303365560316"/>
          <c:w val="0.15688977522976036"/>
          <c:h val="0.23987374712489298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Log Time vs 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NE Log Add 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'[1]5s 500'!$A$2:$A$20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cat>
          <c:val>
            <c:numRef>
              <c:f>Sheet1!$AF$2:$AF$20</c:f>
              <c:numCache>
                <c:formatCode>General</c:formatCode>
                <c:ptCount val="19"/>
                <c:pt idx="0">
                  <c:v>1.3424226808222062</c:v>
                </c:pt>
                <c:pt idx="1">
                  <c:v>1.5563025007672873</c:v>
                </c:pt>
                <c:pt idx="2">
                  <c:v>1.6989700043360187</c:v>
                </c:pt>
                <c:pt idx="3">
                  <c:v>1.8061799739838871</c:v>
                </c:pt>
                <c:pt idx="4">
                  <c:v>1.8920946026904804</c:v>
                </c:pt>
                <c:pt idx="5">
                  <c:v>1.9637878273455553</c:v>
                </c:pt>
                <c:pt idx="6">
                  <c:v>2.0253058652647704</c:v>
                </c:pt>
                <c:pt idx="7">
                  <c:v>2.0791812460476247</c:v>
                </c:pt>
                <c:pt idx="8">
                  <c:v>2.1271047983648077</c:v>
                </c:pt>
                <c:pt idx="9">
                  <c:v>2.1702617153949575</c:v>
                </c:pt>
                <c:pt idx="10">
                  <c:v>2.2095150145426308</c:v>
                </c:pt>
                <c:pt idx="11">
                  <c:v>2.2455126678141499</c:v>
                </c:pt>
                <c:pt idx="12">
                  <c:v>2.2787536009528289</c:v>
                </c:pt>
                <c:pt idx="13">
                  <c:v>2.3096301674258988</c:v>
                </c:pt>
                <c:pt idx="14">
                  <c:v>2.3384564936046046</c:v>
                </c:pt>
                <c:pt idx="15">
                  <c:v>2.3654879848908998</c:v>
                </c:pt>
                <c:pt idx="16">
                  <c:v>2.3909351071033793</c:v>
                </c:pt>
                <c:pt idx="17">
                  <c:v>2.4149733479708178</c:v>
                </c:pt>
                <c:pt idx="18">
                  <c:v>2.4377505628203879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86-4E6F-BA4D-F8FB9A5D9ED3}"/>
            </c:ext>
          </c:extLst>
        </c:ser>
        <c:ser>
          <c:idx val="1"/>
          <c:order val="1"/>
          <c:tx>
            <c:v>LE Log Add Count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'[1]5s 500'!$A$2:$A$20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cat>
          <c:val>
            <c:numRef>
              <c:f>Sheet1!$AA$2:$AA$20</c:f>
              <c:numCache>
                <c:formatCode>General</c:formatCode>
                <c:ptCount val="19"/>
                <c:pt idx="0">
                  <c:v>1.3010299956639813</c:v>
                </c:pt>
                <c:pt idx="1">
                  <c:v>1.7708520116421442</c:v>
                </c:pt>
                <c:pt idx="2">
                  <c:v>2.1553360374650619</c:v>
                </c:pt>
                <c:pt idx="3">
                  <c:v>2.4742162640762553</c:v>
                </c:pt>
                <c:pt idx="4">
                  <c:v>2.7450747915820575</c:v>
                </c:pt>
                <c:pt idx="5">
                  <c:v>2.9800033715837464</c:v>
                </c:pt>
                <c:pt idx="6">
                  <c:v>3.1872386198314788</c:v>
                </c:pt>
                <c:pt idx="7">
                  <c:v>3.3725438007590705</c:v>
                </c:pt>
                <c:pt idx="8">
                  <c:v>3.5400790888041729</c:v>
                </c:pt>
                <c:pt idx="9">
                  <c:v>3.6929350025311378</c:v>
                </c:pt>
                <c:pt idx="10">
                  <c:v>3.8334658601706924</c:v>
                </c:pt>
                <c:pt idx="11">
                  <c:v>3.9635044994142907</c:v>
                </c:pt>
                <c:pt idx="12">
                  <c:v>4.0845047832462278</c:v>
                </c:pt>
                <c:pt idx="13">
                  <c:v>4.1976388755555698</c:v>
                </c:pt>
                <c:pt idx="14">
                  <c:v>4.3038653488427041</c:v>
                </c:pt>
                <c:pt idx="15">
                  <c:v>4.4039779636693543</c:v>
                </c:pt>
                <c:pt idx="16">
                  <c:v>4.4986413188336947</c:v>
                </c:pt>
                <c:pt idx="17">
                  <c:v>4.5884173812019249</c:v>
                </c:pt>
                <c:pt idx="18">
                  <c:v>4.6737855508358148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86-4E6F-BA4D-F8FB9A5D9ED3}"/>
            </c:ext>
          </c:extLst>
        </c:ser>
        <c:ser>
          <c:idx val="2"/>
          <c:order val="2"/>
          <c:tx>
            <c:v>Featherstone Log Add Count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'[1]5s 500'!$A$2:$A$20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cat>
          <c:val>
            <c:numRef>
              <c:f>Sheet1!$AK$2:$AK$20</c:f>
              <c:numCache>
                <c:formatCode>General</c:formatCode>
                <c:ptCount val="19"/>
                <c:pt idx="0">
                  <c:v>1.0413926851582251</c:v>
                </c:pt>
                <c:pt idx="1">
                  <c:v>1.255272505103306</c:v>
                </c:pt>
                <c:pt idx="2">
                  <c:v>1.3979400086720377</c:v>
                </c:pt>
                <c:pt idx="3">
                  <c:v>1.505149978319906</c:v>
                </c:pt>
                <c:pt idx="4">
                  <c:v>1.5910646070264991</c:v>
                </c:pt>
                <c:pt idx="5">
                  <c:v>1.6627578316815741</c:v>
                </c:pt>
                <c:pt idx="6">
                  <c:v>1.7242758696007889</c:v>
                </c:pt>
                <c:pt idx="7">
                  <c:v>1.7781512503836436</c:v>
                </c:pt>
                <c:pt idx="8">
                  <c:v>1.8260748027008264</c:v>
                </c:pt>
                <c:pt idx="9">
                  <c:v>1.8692317197309762</c:v>
                </c:pt>
                <c:pt idx="10">
                  <c:v>1.9084850188786497</c:v>
                </c:pt>
                <c:pt idx="11">
                  <c:v>1.9444826721501687</c:v>
                </c:pt>
                <c:pt idx="12">
                  <c:v>1.9777236052888478</c:v>
                </c:pt>
                <c:pt idx="13">
                  <c:v>2.0086001717619175</c:v>
                </c:pt>
                <c:pt idx="14">
                  <c:v>2.0374264979406238</c:v>
                </c:pt>
                <c:pt idx="15">
                  <c:v>2.0644579892269186</c:v>
                </c:pt>
                <c:pt idx="16">
                  <c:v>2.0899051114393981</c:v>
                </c:pt>
                <c:pt idx="17">
                  <c:v>2.1139433523068369</c:v>
                </c:pt>
                <c:pt idx="18">
                  <c:v>2.1367205671564067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86-4E6F-BA4D-F8FB9A5D9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2662447"/>
        <c:axId val="732663887"/>
      </c:barChart>
      <c:catAx>
        <c:axId val="732662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N, Number</a:t>
                </a:r>
                <a:r>
                  <a:rPr lang="en-US" sz="1200" b="1" baseline="0"/>
                  <a:t> of Links</a:t>
                </a:r>
                <a:endParaRPr lang="en-U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663887"/>
        <c:crosses val="autoZero"/>
        <c:auto val="1"/>
        <c:lblAlgn val="ctr"/>
        <c:lblOffset val="100"/>
        <c:noMultiLvlLbl val="0"/>
      </c:catAx>
      <c:valAx>
        <c:axId val="73266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Log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662447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3053999828968746"/>
          <c:y val="0.11762405856546715"/>
          <c:w val="0.10201027786493486"/>
          <c:h val="0.1965019209542527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Log Count of</a:t>
            </a:r>
            <a:r>
              <a:rPr lang="en-US" sz="1600" b="1" baseline="0">
                <a:solidFill>
                  <a:schemeClr val="tx1"/>
                </a:solidFill>
              </a:rPr>
              <a:t> Multiplications vs N</a:t>
            </a:r>
            <a:endParaRPr lang="en-US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LE Multiplications</c:v>
          </c:tx>
          <c:spPr>
            <a:ln w="412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cat>
          <c:val>
            <c:numRef>
              <c:f>Sheet1!$AB$2:$AB$20</c:f>
              <c:numCache>
                <c:formatCode>General</c:formatCode>
                <c:ptCount val="19"/>
                <c:pt idx="0">
                  <c:v>2.0530784434834195</c:v>
                </c:pt>
                <c:pt idx="1">
                  <c:v>2.6937269489236471</c:v>
                </c:pt>
                <c:pt idx="2">
                  <c:v>3.1835545336188615</c:v>
                </c:pt>
                <c:pt idx="3">
                  <c:v>3.5787537844264348</c:v>
                </c:pt>
                <c:pt idx="4">
                  <c:v>3.9103575572728775</c:v>
                </c:pt>
                <c:pt idx="5">
                  <c:v>4.1963420201397685</c:v>
                </c:pt>
                <c:pt idx="6">
                  <c:v>4.4479638302267448</c:v>
                </c:pt>
                <c:pt idx="7">
                  <c:v>4.672734971642158</c:v>
                </c:pt>
                <c:pt idx="8">
                  <c:v>4.875923205849455</c:v>
                </c:pt>
                <c:pt idx="9">
                  <c:v>5.0613695329844326</c:v>
                </c:pt>
                <c:pt idx="10">
                  <c:v>5.2319637524310654</c:v>
                </c:pt>
                <c:pt idx="11">
                  <c:v>5.389936494915041</c:v>
                </c:pt>
                <c:pt idx="12">
                  <c:v>5.5370467492426405</c:v>
                </c:pt>
                <c:pt idx="13">
                  <c:v>5.6747068607520914</c:v>
                </c:pt>
                <c:pt idx="14">
                  <c:v>5.8040685213250036</c:v>
                </c:pt>
                <c:pt idx="15">
                  <c:v>5.926083542306575</c:v>
                </c:pt>
                <c:pt idx="16">
                  <c:v>6.0415478190213152</c:v>
                </c:pt>
                <c:pt idx="17">
                  <c:v>6.151133789808104</c:v>
                </c:pt>
                <c:pt idx="18">
                  <c:v>6.2554148338586577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F7-458C-87BB-5B7EA60AD675}"/>
            </c:ext>
          </c:extLst>
        </c:ser>
        <c:ser>
          <c:idx val="1"/>
          <c:order val="1"/>
          <c:tx>
            <c:v>NE Multiplications</c:v>
          </c:tx>
          <c:spPr>
            <a:ln w="412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cat>
          <c:val>
            <c:numRef>
              <c:f>Sheet1!$AG$2:$AG$20</c:f>
              <c:numCache>
                <c:formatCode>General</c:formatCode>
                <c:ptCount val="19"/>
                <c:pt idx="0">
                  <c:v>1.5910646070264991</c:v>
                </c:pt>
                <c:pt idx="1">
                  <c:v>1.7993405494535817</c:v>
                </c:pt>
                <c:pt idx="2">
                  <c:v>1.9444826721501687</c:v>
                </c:pt>
                <c:pt idx="3">
                  <c:v>2.0569048513364727</c:v>
                </c:pt>
                <c:pt idx="4">
                  <c:v>2.1492191126553797</c:v>
                </c:pt>
                <c:pt idx="5">
                  <c:v>2.2278867046136734</c:v>
                </c:pt>
                <c:pt idx="6">
                  <c:v>2.2966651902615309</c:v>
                </c:pt>
                <c:pt idx="7">
                  <c:v>2.357934847000454</c:v>
                </c:pt>
                <c:pt idx="8">
                  <c:v>2.4132997640812519</c:v>
                </c:pt>
                <c:pt idx="9">
                  <c:v>2.4638929889859074</c:v>
                </c:pt>
                <c:pt idx="10">
                  <c:v>2.510545010206612</c:v>
                </c:pt>
                <c:pt idx="11">
                  <c:v>2.5538830266438746</c:v>
                </c:pt>
                <c:pt idx="12">
                  <c:v>2.5943925503754266</c:v>
                </c:pt>
                <c:pt idx="13">
                  <c:v>2.6324572921847245</c:v>
                </c:pt>
                <c:pt idx="14">
                  <c:v>2.6683859166900001</c:v>
                </c:pt>
                <c:pt idx="15">
                  <c:v>2.7024305364455254</c:v>
                </c:pt>
                <c:pt idx="16">
                  <c:v>2.7347998295888472</c:v>
                </c:pt>
                <c:pt idx="17">
                  <c:v>2.7656685547590141</c:v>
                </c:pt>
                <c:pt idx="18">
                  <c:v>2.7951845896824241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F7-458C-87BB-5B7EA60AD675}"/>
            </c:ext>
          </c:extLst>
        </c:ser>
        <c:ser>
          <c:idx val="2"/>
          <c:order val="2"/>
          <c:tx>
            <c:v>Featherstone Multiplications</c:v>
          </c:tx>
          <c:spPr>
            <a:ln w="412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cat>
          <c:val>
            <c:numRef>
              <c:f>Sheet1!$AL$2:$AL$20</c:f>
              <c:numCache>
                <c:formatCode>General</c:formatCode>
                <c:ptCount val="19"/>
                <c:pt idx="0">
                  <c:v>1.3802112417116059</c:v>
                </c:pt>
                <c:pt idx="1">
                  <c:v>1.568201724066995</c:v>
                </c:pt>
                <c:pt idx="2">
                  <c:v>1.6989700043360187</c:v>
                </c:pt>
                <c:pt idx="3">
                  <c:v>1.7993405494535817</c:v>
                </c:pt>
                <c:pt idx="4">
                  <c:v>1.8808135922807914</c:v>
                </c:pt>
                <c:pt idx="5">
                  <c:v>1.9493900066449128</c:v>
                </c:pt>
                <c:pt idx="6">
                  <c:v>2.0086001717619175</c:v>
                </c:pt>
                <c:pt idx="7">
                  <c:v>2.0606978403536118</c:v>
                </c:pt>
                <c:pt idx="8">
                  <c:v>2.1072099696478683</c:v>
                </c:pt>
                <c:pt idx="9">
                  <c:v>2.1492191126553797</c:v>
                </c:pt>
                <c:pt idx="10">
                  <c:v>2.1875207208364631</c:v>
                </c:pt>
                <c:pt idx="11">
                  <c:v>2.2227164711475833</c:v>
                </c:pt>
                <c:pt idx="12">
                  <c:v>2.255272505103306</c:v>
                </c:pt>
                <c:pt idx="13">
                  <c:v>2.2855573090077739</c:v>
                </c:pt>
                <c:pt idx="14">
                  <c:v>2.3138672203691533</c:v>
                </c:pt>
                <c:pt idx="15">
                  <c:v>2.3404441148401185</c:v>
                </c:pt>
                <c:pt idx="16">
                  <c:v>2.3654879848908998</c:v>
                </c:pt>
                <c:pt idx="17">
                  <c:v>2.3891660843645326</c:v>
                </c:pt>
                <c:pt idx="18">
                  <c:v>2.4116197059632301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F7-458C-87BB-5B7EA60AD675}"/>
            </c:ext>
          </c:extLst>
        </c:ser>
        <c:ser>
          <c:idx val="3"/>
          <c:order val="3"/>
          <c:tx>
            <c:v>GA Multiplication</c:v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Sheet1!$AQ$2:$AQ$20</c:f>
              <c:numCache>
                <c:formatCode>General</c:formatCode>
                <c:ptCount val="19"/>
                <c:pt idx="0">
                  <c:v>1.6020599913279623</c:v>
                </c:pt>
                <c:pt idx="1">
                  <c:v>1.7781512503836436</c:v>
                </c:pt>
                <c:pt idx="2">
                  <c:v>1.9030899869919435</c:v>
                </c:pt>
                <c:pt idx="3">
                  <c:v>2</c:v>
                </c:pt>
                <c:pt idx="4">
                  <c:v>2.0791812460476247</c:v>
                </c:pt>
                <c:pt idx="5">
                  <c:v>2.1461280356782382</c:v>
                </c:pt>
                <c:pt idx="6">
                  <c:v>2.2041199826559246</c:v>
                </c:pt>
                <c:pt idx="7">
                  <c:v>2.255272505103306</c:v>
                </c:pt>
                <c:pt idx="8">
                  <c:v>2.3010299956639813</c:v>
                </c:pt>
                <c:pt idx="9">
                  <c:v>2.3424226808222062</c:v>
                </c:pt>
                <c:pt idx="10">
                  <c:v>2.3802112417116059</c:v>
                </c:pt>
                <c:pt idx="11">
                  <c:v>2.4149733479708178</c:v>
                </c:pt>
                <c:pt idx="12">
                  <c:v>2.4471580313422194</c:v>
                </c:pt>
                <c:pt idx="13">
                  <c:v>2.4771212547196626</c:v>
                </c:pt>
                <c:pt idx="14">
                  <c:v>2.5051499783199058</c:v>
                </c:pt>
                <c:pt idx="15">
                  <c:v>2.5314789170422549</c:v>
                </c:pt>
                <c:pt idx="16">
                  <c:v>2.5563025007672873</c:v>
                </c:pt>
                <c:pt idx="17">
                  <c:v>2.5797835966168101</c:v>
                </c:pt>
                <c:pt idx="18">
                  <c:v>2.6020599913279625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10-46B0-97CD-141395340F13}"/>
            </c:ext>
          </c:extLst>
        </c:ser>
        <c:ser>
          <c:idx val="4"/>
          <c:order val="4"/>
          <c:tx>
            <c:v>Lie Group Multiplication</c:v>
          </c:tx>
          <c:spPr>
            <a:ln w="28575" cap="rnd">
              <a:solidFill>
                <a:srgbClr val="00FFFF"/>
              </a:solidFill>
              <a:round/>
            </a:ln>
            <a:effectLst/>
          </c:spPr>
          <c:marker>
            <c:symbol val="none"/>
          </c:marker>
          <c:val>
            <c:numRef>
              <c:f>Sheet1!$AV$2:$AV$20</c:f>
              <c:numCache>
                <c:formatCode>General</c:formatCode>
                <c:ptCount val="19"/>
                <c:pt idx="0">
                  <c:v>1.3979400086720377</c:v>
                </c:pt>
                <c:pt idx="1">
                  <c:v>1.5797835966168101</c:v>
                </c:pt>
                <c:pt idx="2">
                  <c:v>1.7075701760979363</c:v>
                </c:pt>
                <c:pt idx="3">
                  <c:v>1.8061799739838871</c:v>
                </c:pt>
                <c:pt idx="4">
                  <c:v>1.8864907251724818</c:v>
                </c:pt>
                <c:pt idx="5">
                  <c:v>1.954242509439325</c:v>
                </c:pt>
                <c:pt idx="6">
                  <c:v>2.012837224705172</c:v>
                </c:pt>
                <c:pt idx="7">
                  <c:v>2.0644579892269186</c:v>
                </c:pt>
                <c:pt idx="8">
                  <c:v>2.1105897102992488</c:v>
                </c:pt>
                <c:pt idx="9">
                  <c:v>2.1522883443830563</c:v>
                </c:pt>
                <c:pt idx="10">
                  <c:v>2.1903316981702914</c:v>
                </c:pt>
                <c:pt idx="11">
                  <c:v>2.2253092817258628</c:v>
                </c:pt>
                <c:pt idx="12">
                  <c:v>2.2576785748691846</c:v>
                </c:pt>
                <c:pt idx="13">
                  <c:v>2.287801729930226</c:v>
                </c:pt>
                <c:pt idx="14">
                  <c:v>2.3159703454569178</c:v>
                </c:pt>
                <c:pt idx="15">
                  <c:v>2.3424226808222062</c:v>
                </c:pt>
                <c:pt idx="16">
                  <c:v>2.3673559210260189</c:v>
                </c:pt>
                <c:pt idx="17">
                  <c:v>2.3909351071033793</c:v>
                </c:pt>
                <c:pt idx="18">
                  <c:v>2.4132997640812519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10-46B0-97CD-141395340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468127"/>
        <c:axId val="1128951231"/>
      </c:lineChart>
      <c:catAx>
        <c:axId val="1130468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solidFill>
                      <a:schemeClr val="tx1"/>
                    </a:solidFill>
                  </a:rPr>
                  <a:t>N, Number of Links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951231"/>
        <c:crosses val="autoZero"/>
        <c:auto val="1"/>
        <c:lblAlgn val="ctr"/>
        <c:lblOffset val="100"/>
        <c:noMultiLvlLbl val="0"/>
      </c:catAx>
      <c:valAx>
        <c:axId val="112895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solidFill>
                      <a:schemeClr val="tx1"/>
                    </a:solidFill>
                  </a:rPr>
                  <a:t>Log</a:t>
                </a:r>
                <a:r>
                  <a:rPr lang="en-US" sz="1600" b="1" baseline="0">
                    <a:solidFill>
                      <a:schemeClr val="tx1"/>
                    </a:solidFill>
                  </a:rPr>
                  <a:t> Count of Multiplications</a:t>
                </a:r>
                <a:endParaRPr lang="en-US" sz="16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46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210531614790612"/>
          <c:y val="0.13356479174280428"/>
          <c:w val="0.22358559351956353"/>
          <c:h val="0.23976726082848218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Log Count of</a:t>
            </a:r>
            <a:r>
              <a:rPr lang="en-US" sz="1600" b="1" baseline="0">
                <a:solidFill>
                  <a:schemeClr val="tx1"/>
                </a:solidFill>
              </a:rPr>
              <a:t> Rotation Matrices vs N</a:t>
            </a:r>
            <a:endParaRPr lang="en-US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2340014204782686"/>
          <c:y val="2.55749897632914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LE Rot. Matrices</c:v>
          </c:tx>
          <c:spPr>
            <a:ln w="412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cat>
          <c:val>
            <c:numRef>
              <c:f>Sheet1!$AC$2:$AC$20</c:f>
              <c:numCache>
                <c:formatCode>General</c:formatCode>
                <c:ptCount val="19"/>
                <c:pt idx="0">
                  <c:v>2.1492191126553797</c:v>
                </c:pt>
                <c:pt idx="1">
                  <c:v>2.8075350280688531</c:v>
                </c:pt>
                <c:pt idx="2">
                  <c:v>3.3092041796704077</c:v>
                </c:pt>
                <c:pt idx="3">
                  <c:v>3.7154183225950561</c:v>
                </c:pt>
                <c:pt idx="4">
                  <c:v>4.0570191243227658</c:v>
                </c:pt>
                <c:pt idx="5">
                  <c:v>4.3518735766208998</c:v>
                </c:pt>
                <c:pt idx="6">
                  <c:v>4.611298362296429</c:v>
                </c:pt>
                <c:pt idx="7">
                  <c:v>4.8429273560990236</c:v>
                </c:pt>
                <c:pt idx="8">
                  <c:v>5.0521589186766507</c:v>
                </c:pt>
                <c:pt idx="9">
                  <c:v>5.242953663274962</c:v>
                </c:pt>
                <c:pt idx="10">
                  <c:v>5.4183046065321445</c:v>
                </c:pt>
                <c:pt idx="11">
                  <c:v>5.5805292569017242</c:v>
                </c:pt>
                <c:pt idx="12">
                  <c:v>5.7314590214827037</c:v>
                </c:pt>
                <c:pt idx="13">
                  <c:v>5.8725664726779767</c:v>
                </c:pt>
                <c:pt idx="14">
                  <c:v>6.0050534670785991</c:v>
                </c:pt>
                <c:pt idx="15">
                  <c:v>6.1299137474529397</c:v>
                </c:pt>
                <c:pt idx="16">
                  <c:v>6.2479784189776355</c:v>
                </c:pt>
                <c:pt idx="17">
                  <c:v>6.3599496355798379</c:v>
                </c:pt>
                <c:pt idx="18">
                  <c:v>6.4664259866779652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58-405E-A377-7A3D7DD26BC5}"/>
            </c:ext>
          </c:extLst>
        </c:ser>
        <c:ser>
          <c:idx val="1"/>
          <c:order val="1"/>
          <c:tx>
            <c:v>NE Rot. Matrices</c:v>
          </c:tx>
          <c:spPr>
            <a:ln w="412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cat>
          <c:val>
            <c:numRef>
              <c:f>Sheet1!$AH$2:$AH$20</c:f>
              <c:numCache>
                <c:formatCode>General</c:formatCode>
                <c:ptCount val="19"/>
                <c:pt idx="0">
                  <c:v>0.77815125038364363</c:v>
                </c:pt>
                <c:pt idx="1">
                  <c:v>1.0413926851582251</c:v>
                </c:pt>
                <c:pt idx="2">
                  <c:v>1.2304489213782739</c:v>
                </c:pt>
                <c:pt idx="3">
                  <c:v>1.3802112417116059</c:v>
                </c:pt>
                <c:pt idx="4">
                  <c:v>1.505149978319906</c:v>
                </c:pt>
                <c:pt idx="5">
                  <c:v>1.6127838567197355</c:v>
                </c:pt>
                <c:pt idx="6">
                  <c:v>1.7075701760979363</c:v>
                </c:pt>
                <c:pt idx="7">
                  <c:v>1.7923916894982539</c:v>
                </c:pt>
                <c:pt idx="8">
                  <c:v>1.8692317197309762</c:v>
                </c:pt>
                <c:pt idx="9">
                  <c:v>1.9395192526186185</c:v>
                </c:pt>
                <c:pt idx="10">
                  <c:v>2.0043213737826426</c:v>
                </c:pt>
                <c:pt idx="11">
                  <c:v>2.0644579892269186</c:v>
                </c:pt>
                <c:pt idx="12">
                  <c:v>2.12057393120585</c:v>
                </c:pt>
                <c:pt idx="13">
                  <c:v>2.173186268412274</c:v>
                </c:pt>
                <c:pt idx="14">
                  <c:v>2.2227164711475833</c:v>
                </c:pt>
                <c:pt idx="15">
                  <c:v>2.2695129442179165</c:v>
                </c:pt>
                <c:pt idx="16">
                  <c:v>2.3138672203691533</c:v>
                </c:pt>
                <c:pt idx="17">
                  <c:v>2.3560258571931225</c:v>
                </c:pt>
                <c:pt idx="18">
                  <c:v>2.3961993470957363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58-405E-A377-7A3D7DD26BC5}"/>
            </c:ext>
          </c:extLst>
        </c:ser>
        <c:ser>
          <c:idx val="2"/>
          <c:order val="2"/>
          <c:tx>
            <c:v>Featherstone Rot. Matrices</c:v>
          </c:tx>
          <c:spPr>
            <a:ln w="412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cat>
          <c:val>
            <c:numRef>
              <c:f>Sheet1!$AM$2:$AM$20</c:f>
              <c:numCache>
                <c:formatCode>General</c:formatCode>
                <c:ptCount val="19"/>
                <c:pt idx="0">
                  <c:v>0.3010299956639812</c:v>
                </c:pt>
                <c:pt idx="1">
                  <c:v>0.47712125471966244</c:v>
                </c:pt>
                <c:pt idx="2">
                  <c:v>0.6020599913279624</c:v>
                </c:pt>
                <c:pt idx="3">
                  <c:v>0.69897000433601886</c:v>
                </c:pt>
                <c:pt idx="4">
                  <c:v>0.77815125038364363</c:v>
                </c:pt>
                <c:pt idx="5">
                  <c:v>0.84509804001425681</c:v>
                </c:pt>
                <c:pt idx="6">
                  <c:v>0.90308998699194354</c:v>
                </c:pt>
                <c:pt idx="7">
                  <c:v>0.95424250943932487</c:v>
                </c:pt>
                <c:pt idx="8">
                  <c:v>1</c:v>
                </c:pt>
                <c:pt idx="9">
                  <c:v>1.0413926851582251</c:v>
                </c:pt>
                <c:pt idx="10">
                  <c:v>1.0791812460476249</c:v>
                </c:pt>
                <c:pt idx="11">
                  <c:v>1.1139433523068367</c:v>
                </c:pt>
                <c:pt idx="12">
                  <c:v>1.146128035678238</c:v>
                </c:pt>
                <c:pt idx="13">
                  <c:v>1.1760912590556813</c:v>
                </c:pt>
                <c:pt idx="14">
                  <c:v>1.2041199826559248</c:v>
                </c:pt>
                <c:pt idx="15">
                  <c:v>1.2304489213782739</c:v>
                </c:pt>
                <c:pt idx="16">
                  <c:v>1.255272505103306</c:v>
                </c:pt>
                <c:pt idx="17">
                  <c:v>1.2787536009528289</c:v>
                </c:pt>
                <c:pt idx="18">
                  <c:v>1.3010299956639813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58-405E-A377-7A3D7DD26BC5}"/>
            </c:ext>
          </c:extLst>
        </c:ser>
        <c:ser>
          <c:idx val="3"/>
          <c:order val="3"/>
          <c:tx>
            <c:v>GA Rot. Matrices</c:v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Sheet1!$AR$2:$AR$20</c:f>
              <c:numCache>
                <c:formatCode>General</c:formatCode>
                <c:ptCount val="19"/>
                <c:pt idx="0">
                  <c:v>0.77815125038364363</c:v>
                </c:pt>
                <c:pt idx="1">
                  <c:v>0.95424250943932487</c:v>
                </c:pt>
                <c:pt idx="2">
                  <c:v>1.0791812460476249</c:v>
                </c:pt>
                <c:pt idx="3">
                  <c:v>1.1760912590556813</c:v>
                </c:pt>
                <c:pt idx="4">
                  <c:v>1.255272505103306</c:v>
                </c:pt>
                <c:pt idx="5">
                  <c:v>1.3222192947339193</c:v>
                </c:pt>
                <c:pt idx="6">
                  <c:v>1.3802112417116059</c:v>
                </c:pt>
                <c:pt idx="7">
                  <c:v>1.4313637641589874</c:v>
                </c:pt>
                <c:pt idx="8">
                  <c:v>1.4771212547196624</c:v>
                </c:pt>
                <c:pt idx="9">
                  <c:v>1.5185139398778875</c:v>
                </c:pt>
                <c:pt idx="10">
                  <c:v>1.5563025007672873</c:v>
                </c:pt>
                <c:pt idx="11">
                  <c:v>1.5910646070264991</c:v>
                </c:pt>
                <c:pt idx="12">
                  <c:v>1.6232492903979006</c:v>
                </c:pt>
                <c:pt idx="13">
                  <c:v>1.6532125137753437</c:v>
                </c:pt>
                <c:pt idx="14">
                  <c:v>1.6812412373755872</c:v>
                </c:pt>
                <c:pt idx="15">
                  <c:v>1.7075701760979363</c:v>
                </c:pt>
                <c:pt idx="16">
                  <c:v>1.7323937598229686</c:v>
                </c:pt>
                <c:pt idx="17">
                  <c:v>1.7558748556724915</c:v>
                </c:pt>
                <c:pt idx="18">
                  <c:v>1.7781512503836436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DC-410D-BBCC-A5C1B3C3438C}"/>
            </c:ext>
          </c:extLst>
        </c:ser>
        <c:ser>
          <c:idx val="4"/>
          <c:order val="4"/>
          <c:tx>
            <c:v>Lie Group Rot. Matrices</c:v>
          </c:tx>
          <c:spPr>
            <a:ln w="28575" cap="rnd">
              <a:solidFill>
                <a:srgbClr val="00FFFF"/>
              </a:solidFill>
              <a:round/>
            </a:ln>
            <a:effectLst/>
          </c:spPr>
          <c:marker>
            <c:symbol val="none"/>
          </c:marker>
          <c:val>
            <c:numRef>
              <c:f>Sheet1!$AW$2:$AW$20</c:f>
              <c:numCache>
                <c:formatCode>General</c:formatCode>
                <c:ptCount val="19"/>
                <c:pt idx="0">
                  <c:v>0.84509804001425681</c:v>
                </c:pt>
                <c:pt idx="1">
                  <c:v>1.0413926851582251</c:v>
                </c:pt>
                <c:pt idx="2">
                  <c:v>1.1760912590556813</c:v>
                </c:pt>
                <c:pt idx="3">
                  <c:v>1.2787536009528289</c:v>
                </c:pt>
                <c:pt idx="4">
                  <c:v>1.3617278360175928</c:v>
                </c:pt>
                <c:pt idx="5">
                  <c:v>1.4313637641589874</c:v>
                </c:pt>
                <c:pt idx="6">
                  <c:v>1.4913616938342726</c:v>
                </c:pt>
                <c:pt idx="7">
                  <c:v>1.5440680443502757</c:v>
                </c:pt>
                <c:pt idx="8">
                  <c:v>1.5910646070264991</c:v>
                </c:pt>
                <c:pt idx="9">
                  <c:v>1.6334684555795864</c:v>
                </c:pt>
                <c:pt idx="10">
                  <c:v>1.6720978579357175</c:v>
                </c:pt>
                <c:pt idx="11">
                  <c:v>1.7075701760979363</c:v>
                </c:pt>
                <c:pt idx="12">
                  <c:v>1.7403626894942439</c:v>
                </c:pt>
                <c:pt idx="13">
                  <c:v>1.7708520116421442</c:v>
                </c:pt>
                <c:pt idx="14">
                  <c:v>1.7993405494535817</c:v>
                </c:pt>
                <c:pt idx="15">
                  <c:v>1.8260748027008264</c:v>
                </c:pt>
                <c:pt idx="16">
                  <c:v>1.8512583487190752</c:v>
                </c:pt>
                <c:pt idx="17">
                  <c:v>1.8750612633917001</c:v>
                </c:pt>
                <c:pt idx="18">
                  <c:v>1.8976270912904414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DC-410D-BBCC-A5C1B3C34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468127"/>
        <c:axId val="1128951231"/>
      </c:lineChart>
      <c:catAx>
        <c:axId val="1130468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solidFill>
                      <a:schemeClr val="tx1"/>
                    </a:solidFill>
                  </a:rPr>
                  <a:t>N, Number of Links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951231"/>
        <c:crosses val="autoZero"/>
        <c:auto val="1"/>
        <c:lblAlgn val="ctr"/>
        <c:lblOffset val="100"/>
        <c:noMultiLvlLbl val="0"/>
      </c:catAx>
      <c:valAx>
        <c:axId val="112895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solidFill>
                      <a:schemeClr val="tx1"/>
                    </a:solidFill>
                  </a:rPr>
                  <a:t>Log</a:t>
                </a:r>
                <a:r>
                  <a:rPr lang="en-US" sz="1600" b="1" baseline="0">
                    <a:solidFill>
                      <a:schemeClr val="tx1"/>
                    </a:solidFill>
                  </a:rPr>
                  <a:t> Count of </a:t>
                </a:r>
                <a:r>
                  <a:rPr lang="en-US" sz="1600" b="1" i="0" u="none" strike="noStrike" kern="1200" baseline="0">
                    <a:solidFill>
                      <a:schemeClr val="tx1"/>
                    </a:solidFill>
                  </a:rPr>
                  <a:t>Rotation Matrices</a:t>
                </a:r>
                <a:endParaRPr lang="en-US" sz="16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46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210531614790612"/>
          <c:y val="0.13356479174280428"/>
          <c:w val="0.21359291377421535"/>
          <c:h val="0.23976720717979241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400050</xdr:colOff>
      <xdr:row>27</xdr:row>
      <xdr:rowOff>71437</xdr:rowOff>
    </xdr:from>
    <xdr:to>
      <xdr:col>6</xdr:col>
      <xdr:colOff>742950</xdr:colOff>
      <xdr:row>48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AF2D5B-425E-95B9-D28A-D24D69D9C6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1314450</xdr:colOff>
      <xdr:row>26</xdr:row>
      <xdr:rowOff>47625</xdr:rowOff>
    </xdr:from>
    <xdr:to>
      <xdr:col>14</xdr:col>
      <xdr:colOff>504825</xdr:colOff>
      <xdr:row>47</xdr:row>
      <xdr:rowOff>119063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2AA300-6A06-4B42-9595-D374D4B96F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276224</xdr:colOff>
      <xdr:row>53</xdr:row>
      <xdr:rowOff>52386</xdr:rowOff>
    </xdr:from>
    <xdr:to>
      <xdr:col>6</xdr:col>
      <xdr:colOff>304799</xdr:colOff>
      <xdr:row>71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F3C6FC-A195-5BDC-4B02-F097AA338A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285750</xdr:colOff>
      <xdr:row>51</xdr:row>
      <xdr:rowOff>152400</xdr:rowOff>
    </xdr:from>
    <xdr:to>
      <xdr:col>15</xdr:col>
      <xdr:colOff>238125</xdr:colOff>
      <xdr:row>73</xdr:row>
      <xdr:rowOff>33338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E93EF5-A536-469A-9656-1D232C071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142875</xdr:colOff>
      <xdr:row>73</xdr:row>
      <xdr:rowOff>66674</xdr:rowOff>
    </xdr:from>
    <xdr:to>
      <xdr:col>6</xdr:col>
      <xdr:colOff>200025</xdr:colOff>
      <xdr:row>94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D55F854-12E4-471F-9DED-3C515DD77C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1257300</xdr:colOff>
      <xdr:row>76</xdr:row>
      <xdr:rowOff>85725</xdr:rowOff>
    </xdr:from>
    <xdr:to>
      <xdr:col>14</xdr:col>
      <xdr:colOff>447675</xdr:colOff>
      <xdr:row>97</xdr:row>
      <xdr:rowOff>157163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A1064F7-D532-41C5-AE47-6F890535E6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363008</xdr:colOff>
      <xdr:row>23</xdr:row>
      <xdr:rowOff>21167</xdr:rowOff>
    </xdr:from>
    <xdr:to>
      <xdr:col>32</xdr:col>
      <xdr:colOff>334432</xdr:colOff>
      <xdr:row>46</xdr:row>
      <xdr:rowOff>154517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411AB2F-63F8-3B5E-913A-F69B78328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161925</xdr:colOff>
      <xdr:row>96</xdr:row>
      <xdr:rowOff>76200</xdr:rowOff>
    </xdr:from>
    <xdr:to>
      <xdr:col>9</xdr:col>
      <xdr:colOff>190501</xdr:colOff>
      <xdr:row>123</xdr:row>
      <xdr:rowOff>14289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56C8A02-F890-4703-B65D-72DB8802FA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171450</xdr:colOff>
      <xdr:row>52</xdr:row>
      <xdr:rowOff>47625</xdr:rowOff>
    </xdr:from>
    <xdr:to>
      <xdr:col>32</xdr:col>
      <xdr:colOff>142875</xdr:colOff>
      <xdr:row>75</xdr:row>
      <xdr:rowOff>180975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B6A088-96B8-4E81-9BC9-785A418FA5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128984</xdr:colOff>
      <xdr:row>84</xdr:row>
      <xdr:rowOff>49609</xdr:rowOff>
    </xdr:from>
    <xdr:to>
      <xdr:col>31</xdr:col>
      <xdr:colOff>104774</xdr:colOff>
      <xdr:row>107</xdr:row>
      <xdr:rowOff>182960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93B3ECB-0193-4C2F-9E56-387FE653A6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time%20data%20(version%202).xlsb.xlsx" TargetMode="External"/><Relationship Id="rId2" Type="http://schemas.openxmlformats.org/officeDocument/2006/relationships/externalLinkPath" Target="file:///A:\uni\masters%20nu\RA\pythonCode\ra\time%20data%20(version%202).xlsb.xlsx" TargetMode="External"/><Relationship Id="rId1" Type="http://schemas.openxmlformats.org/officeDocument/2006/relationships/externalLinkPath" Target="/uni/masters%20nu/RA/pythonCode/ra/time%20data%20(version%202).xls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00s"/>
      <sheetName val="5s"/>
      <sheetName val="5s 500"/>
      <sheetName val="10s 1000"/>
      <sheetName val="20s 2000"/>
      <sheetName val="30s 3000"/>
      <sheetName val="40s 4000"/>
      <sheetName val="50s 5000"/>
      <sheetName val="60s 6000"/>
      <sheetName val="70s 7000"/>
      <sheetName val="80s 8000"/>
      <sheetName val="90s 9000"/>
    </sheetNames>
    <sheetDataSet>
      <sheetData sheetId="0" refreshError="1"/>
      <sheetData sheetId="1" refreshError="1"/>
      <sheetData sheetId="2"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  <row r="5">
          <cell r="A5">
            <v>5</v>
          </cell>
        </row>
        <row r="6">
          <cell r="A6">
            <v>6</v>
          </cell>
        </row>
        <row r="7">
          <cell r="A7">
            <v>7</v>
          </cell>
        </row>
        <row r="8">
          <cell r="A8">
            <v>8</v>
          </cell>
        </row>
        <row r="9">
          <cell r="A9">
            <v>9</v>
          </cell>
        </row>
        <row r="10">
          <cell r="A10">
            <v>10</v>
          </cell>
        </row>
        <row r="11">
          <cell r="A11">
            <v>11</v>
          </cell>
        </row>
        <row r="12">
          <cell r="A12">
            <v>12</v>
          </cell>
        </row>
        <row r="13">
          <cell r="A13">
            <v>13</v>
          </cell>
        </row>
        <row r="14">
          <cell r="A14">
            <v>14</v>
          </cell>
        </row>
        <row r="15">
          <cell r="A15">
            <v>15</v>
          </cell>
        </row>
        <row r="16">
          <cell r="A16">
            <v>16</v>
          </cell>
        </row>
        <row r="17">
          <cell r="A17">
            <v>17</v>
          </cell>
        </row>
        <row r="18">
          <cell r="A18">
            <v>18</v>
          </cell>
        </row>
        <row r="19">
          <cell r="A19">
            <v>19</v>
          </cell>
        </row>
        <row r="20">
          <cell r="A20">
            <v>20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1"/>
  <sheetViews>
    <sheetView tabSelected="1" topLeftCell="P81" zoomScale="122" workbookViewId="0">
      <selection activeCell="AF101" sqref="AF101"/>
    </sheetView>
  </sheetViews>
  <sheetFormatPr defaultRowHeight="15" x14ac:dyDescent="0.25"/>
  <cols>
    <col min="1" max="1" width="13.7109375" customWidth="1"/>
    <col min="2" max="2" width="23.85546875" customWidth="1"/>
    <col min="3" max="3" width="21" customWidth="1"/>
    <col min="4" max="4" width="19.7109375" customWidth="1"/>
    <col min="5" max="5" width="17.7109375" customWidth="1"/>
    <col min="6" max="6" width="16.85546875" customWidth="1"/>
    <col min="7" max="7" width="20.5703125" customWidth="1"/>
    <col min="8" max="8" width="21.28515625" customWidth="1"/>
    <col min="9" max="9" width="21.7109375" customWidth="1"/>
    <col min="10" max="10" width="30" customWidth="1"/>
    <col min="11" max="11" width="16" customWidth="1"/>
    <col min="12" max="12" width="23.85546875" customWidth="1"/>
    <col min="13" max="13" width="17.5703125" customWidth="1"/>
    <col min="14" max="14" width="14" customWidth="1"/>
    <col min="15" max="15" width="17.5703125" customWidth="1"/>
    <col min="16" max="16" width="20" customWidth="1"/>
  </cols>
  <sheetData>
    <row r="1" spans="1:49" x14ac:dyDescent="0.2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4" t="s">
        <v>16</v>
      </c>
      <c r="L1" s="4" t="s">
        <v>17</v>
      </c>
      <c r="M1" s="4" t="s">
        <v>18</v>
      </c>
      <c r="N1" s="5" t="s">
        <v>19</v>
      </c>
      <c r="O1" s="5" t="s">
        <v>20</v>
      </c>
      <c r="P1" s="5" t="s">
        <v>21</v>
      </c>
      <c r="Z1" t="s">
        <v>13</v>
      </c>
      <c r="AA1" t="s">
        <v>10</v>
      </c>
      <c r="AB1" t="s">
        <v>11</v>
      </c>
      <c r="AC1" t="s">
        <v>12</v>
      </c>
      <c r="AE1" t="s">
        <v>14</v>
      </c>
      <c r="AF1" t="s">
        <v>10</v>
      </c>
      <c r="AG1" t="s">
        <v>11</v>
      </c>
      <c r="AH1" t="s">
        <v>12</v>
      </c>
      <c r="AJ1" t="s">
        <v>15</v>
      </c>
      <c r="AK1" t="s">
        <v>10</v>
      </c>
      <c r="AL1" t="s">
        <v>11</v>
      </c>
      <c r="AM1" t="s">
        <v>12</v>
      </c>
      <c r="AO1" t="s">
        <v>22</v>
      </c>
      <c r="AP1" t="s">
        <v>10</v>
      </c>
      <c r="AQ1" t="s">
        <v>11</v>
      </c>
      <c r="AR1" t="s">
        <v>12</v>
      </c>
      <c r="AT1" t="s">
        <v>23</v>
      </c>
      <c r="AU1" t="s">
        <v>10</v>
      </c>
      <c r="AV1" t="s">
        <v>11</v>
      </c>
      <c r="AW1" t="s">
        <v>12</v>
      </c>
    </row>
    <row r="2" spans="1:49" x14ac:dyDescent="0.25">
      <c r="A2">
        <v>2</v>
      </c>
      <c r="B2" s="1">
        <v>20</v>
      </c>
      <c r="C2" s="1">
        <v>113</v>
      </c>
      <c r="D2" s="1">
        <v>141</v>
      </c>
      <c r="E2" s="2">
        <v>22</v>
      </c>
      <c r="F2" s="2">
        <v>39</v>
      </c>
      <c r="G2" s="2">
        <v>6</v>
      </c>
      <c r="H2" s="3">
        <v>11</v>
      </c>
      <c r="I2" s="3">
        <v>24</v>
      </c>
      <c r="J2" s="3">
        <v>2</v>
      </c>
      <c r="K2" s="4">
        <v>30</v>
      </c>
      <c r="L2" s="4">
        <v>40</v>
      </c>
      <c r="M2" s="4">
        <v>6</v>
      </c>
      <c r="N2" s="5">
        <v>13</v>
      </c>
      <c r="O2" s="5">
        <v>25</v>
      </c>
      <c r="P2" s="5">
        <v>7</v>
      </c>
      <c r="AA2">
        <f t="shared" ref="AA2:AA20" si="0">LOG(B2)</f>
        <v>1.3010299956639813</v>
      </c>
      <c r="AB2">
        <f t="shared" ref="AB2:AB20" si="1">LOG(C2)</f>
        <v>2.0530784434834195</v>
      </c>
      <c r="AC2">
        <f t="shared" ref="AC2:AC20" si="2">LOG(D2)</f>
        <v>2.1492191126553797</v>
      </c>
      <c r="AF2">
        <f t="shared" ref="AF2:AF20" si="3">LOG(E2)</f>
        <v>1.3424226808222062</v>
      </c>
      <c r="AG2">
        <f t="shared" ref="AG2:AG20" si="4">LOG(F2)</f>
        <v>1.5910646070264991</v>
      </c>
      <c r="AH2">
        <f t="shared" ref="AH2:AH20" si="5">LOG(G2)</f>
        <v>0.77815125038364363</v>
      </c>
      <c r="AK2">
        <f t="shared" ref="AK2:AK20" si="6">LOG(H2)</f>
        <v>1.0413926851582251</v>
      </c>
      <c r="AL2">
        <f t="shared" ref="AL2:AL20" si="7">LOG(I2)</f>
        <v>1.3802112417116059</v>
      </c>
      <c r="AM2">
        <f t="shared" ref="AM2:AM20" si="8">LOG(J2)</f>
        <v>0.3010299956639812</v>
      </c>
      <c r="AP2">
        <f>LOG(K2)</f>
        <v>1.4771212547196624</v>
      </c>
      <c r="AQ2">
        <f t="shared" ref="AQ2:AR17" si="9">LOG(L2)</f>
        <v>1.6020599913279623</v>
      </c>
      <c r="AR2">
        <f t="shared" si="9"/>
        <v>0.77815125038364363</v>
      </c>
      <c r="AU2">
        <f>LOG(N2)</f>
        <v>1.1139433523068367</v>
      </c>
      <c r="AV2">
        <f t="shared" ref="AV2:AW17" si="10">LOG(O2)</f>
        <v>1.3979400086720377</v>
      </c>
      <c r="AW2">
        <f t="shared" si="10"/>
        <v>0.84509804001425681</v>
      </c>
    </row>
    <row r="3" spans="1:49" x14ac:dyDescent="0.25">
      <c r="A3">
        <v>3</v>
      </c>
      <c r="B3" s="1">
        <v>59</v>
      </c>
      <c r="C3" s="1">
        <v>494</v>
      </c>
      <c r="D3" s="1">
        <v>642</v>
      </c>
      <c r="E3" s="2">
        <v>36</v>
      </c>
      <c r="F3" s="2">
        <v>63</v>
      </c>
      <c r="G3" s="2">
        <v>11</v>
      </c>
      <c r="H3" s="3">
        <v>18</v>
      </c>
      <c r="I3" s="3">
        <v>37</v>
      </c>
      <c r="J3" s="3">
        <v>3</v>
      </c>
      <c r="K3" s="4">
        <v>45</v>
      </c>
      <c r="L3" s="4">
        <v>60</v>
      </c>
      <c r="M3" s="4">
        <v>9</v>
      </c>
      <c r="N3" s="5">
        <v>20</v>
      </c>
      <c r="O3" s="5">
        <v>38</v>
      </c>
      <c r="P3" s="5">
        <v>11</v>
      </c>
      <c r="AA3">
        <f t="shared" si="0"/>
        <v>1.7708520116421442</v>
      </c>
      <c r="AB3">
        <f t="shared" si="1"/>
        <v>2.6937269489236471</v>
      </c>
      <c r="AC3">
        <f t="shared" si="2"/>
        <v>2.8075350280688531</v>
      </c>
      <c r="AF3">
        <f t="shared" si="3"/>
        <v>1.5563025007672873</v>
      </c>
      <c r="AG3">
        <f t="shared" si="4"/>
        <v>1.7993405494535817</v>
      </c>
      <c r="AH3">
        <f t="shared" si="5"/>
        <v>1.0413926851582251</v>
      </c>
      <c r="AK3">
        <f t="shared" si="6"/>
        <v>1.255272505103306</v>
      </c>
      <c r="AL3">
        <f t="shared" si="7"/>
        <v>1.568201724066995</v>
      </c>
      <c r="AM3">
        <f t="shared" si="8"/>
        <v>0.47712125471966244</v>
      </c>
      <c r="AP3">
        <f t="shared" ref="AP3:AP20" si="11">LOG(K3)</f>
        <v>1.6532125137753437</v>
      </c>
      <c r="AQ3">
        <f t="shared" si="9"/>
        <v>1.7781512503836436</v>
      </c>
      <c r="AR3">
        <f t="shared" si="9"/>
        <v>0.95424250943932487</v>
      </c>
      <c r="AU3">
        <f t="shared" ref="AU3:AU20" si="12">LOG(N3)</f>
        <v>1.3010299956639813</v>
      </c>
      <c r="AV3">
        <f t="shared" si="10"/>
        <v>1.5797835966168101</v>
      </c>
      <c r="AW3">
        <f t="shared" si="10"/>
        <v>1.0413926851582251</v>
      </c>
    </row>
    <row r="4" spans="1:49" x14ac:dyDescent="0.25">
      <c r="A4">
        <v>4</v>
      </c>
      <c r="B4" s="1">
        <v>143</v>
      </c>
      <c r="C4" s="1">
        <v>1526</v>
      </c>
      <c r="D4" s="1">
        <v>2038</v>
      </c>
      <c r="E4" s="2">
        <v>50</v>
      </c>
      <c r="F4" s="2">
        <v>88</v>
      </c>
      <c r="G4" s="2">
        <v>17</v>
      </c>
      <c r="H4" s="3">
        <v>25</v>
      </c>
      <c r="I4" s="3">
        <v>50</v>
      </c>
      <c r="J4" s="3">
        <v>4</v>
      </c>
      <c r="K4" s="4">
        <v>60</v>
      </c>
      <c r="L4" s="4">
        <v>80</v>
      </c>
      <c r="M4" s="4">
        <v>12</v>
      </c>
      <c r="N4" s="5">
        <v>27</v>
      </c>
      <c r="O4" s="5">
        <v>51</v>
      </c>
      <c r="P4" s="5">
        <v>15</v>
      </c>
      <c r="AA4">
        <f t="shared" si="0"/>
        <v>2.1553360374650619</v>
      </c>
      <c r="AB4">
        <f t="shared" si="1"/>
        <v>3.1835545336188615</v>
      </c>
      <c r="AC4">
        <f t="shared" si="2"/>
        <v>3.3092041796704077</v>
      </c>
      <c r="AF4">
        <f t="shared" si="3"/>
        <v>1.6989700043360187</v>
      </c>
      <c r="AG4">
        <f t="shared" si="4"/>
        <v>1.9444826721501687</v>
      </c>
      <c r="AH4">
        <f t="shared" si="5"/>
        <v>1.2304489213782739</v>
      </c>
      <c r="AK4">
        <f t="shared" si="6"/>
        <v>1.3979400086720377</v>
      </c>
      <c r="AL4">
        <f t="shared" si="7"/>
        <v>1.6989700043360187</v>
      </c>
      <c r="AM4">
        <f t="shared" si="8"/>
        <v>0.6020599913279624</v>
      </c>
      <c r="AP4">
        <f t="shared" si="11"/>
        <v>1.7781512503836436</v>
      </c>
      <c r="AQ4">
        <f t="shared" si="9"/>
        <v>1.9030899869919435</v>
      </c>
      <c r="AR4">
        <f t="shared" si="9"/>
        <v>1.0791812460476249</v>
      </c>
      <c r="AU4">
        <f t="shared" si="12"/>
        <v>1.4313637641589874</v>
      </c>
      <c r="AV4">
        <f t="shared" si="10"/>
        <v>1.7075701760979363</v>
      </c>
      <c r="AW4">
        <f t="shared" si="10"/>
        <v>1.1760912590556813</v>
      </c>
    </row>
    <row r="5" spans="1:49" x14ac:dyDescent="0.25">
      <c r="A5">
        <v>5</v>
      </c>
      <c r="B5" s="1">
        <v>298</v>
      </c>
      <c r="C5" s="1">
        <v>3791</v>
      </c>
      <c r="D5" s="1">
        <v>5193</v>
      </c>
      <c r="E5" s="2">
        <v>64</v>
      </c>
      <c r="F5" s="2">
        <v>114</v>
      </c>
      <c r="G5" s="2">
        <v>24</v>
      </c>
      <c r="H5" s="3">
        <v>32</v>
      </c>
      <c r="I5" s="3">
        <v>63</v>
      </c>
      <c r="J5" s="3">
        <v>5</v>
      </c>
      <c r="K5" s="4">
        <v>75</v>
      </c>
      <c r="L5" s="4">
        <v>100</v>
      </c>
      <c r="M5" s="4">
        <v>15</v>
      </c>
      <c r="N5" s="5">
        <v>34</v>
      </c>
      <c r="O5" s="5">
        <v>64</v>
      </c>
      <c r="P5" s="5">
        <v>19</v>
      </c>
      <c r="AA5">
        <f t="shared" si="0"/>
        <v>2.4742162640762553</v>
      </c>
      <c r="AB5">
        <f t="shared" si="1"/>
        <v>3.5787537844264348</v>
      </c>
      <c r="AC5">
        <f t="shared" si="2"/>
        <v>3.7154183225950561</v>
      </c>
      <c r="AF5">
        <f t="shared" si="3"/>
        <v>1.8061799739838871</v>
      </c>
      <c r="AG5">
        <f t="shared" si="4"/>
        <v>2.0569048513364727</v>
      </c>
      <c r="AH5">
        <f t="shared" si="5"/>
        <v>1.3802112417116059</v>
      </c>
      <c r="AK5">
        <f t="shared" si="6"/>
        <v>1.505149978319906</v>
      </c>
      <c r="AL5">
        <f t="shared" si="7"/>
        <v>1.7993405494535817</v>
      </c>
      <c r="AM5">
        <f t="shared" si="8"/>
        <v>0.69897000433601886</v>
      </c>
      <c r="AP5">
        <f t="shared" si="11"/>
        <v>1.8750612633917001</v>
      </c>
      <c r="AQ5">
        <f t="shared" si="9"/>
        <v>2</v>
      </c>
      <c r="AR5">
        <f t="shared" si="9"/>
        <v>1.1760912590556813</v>
      </c>
      <c r="AU5">
        <f t="shared" si="12"/>
        <v>1.5314789170422551</v>
      </c>
      <c r="AV5">
        <f t="shared" si="10"/>
        <v>1.8061799739838871</v>
      </c>
      <c r="AW5">
        <f t="shared" si="10"/>
        <v>1.2787536009528289</v>
      </c>
    </row>
    <row r="6" spans="1:49" x14ac:dyDescent="0.25">
      <c r="A6">
        <v>6</v>
      </c>
      <c r="B6" s="1">
        <v>556</v>
      </c>
      <c r="C6" s="1">
        <v>8135</v>
      </c>
      <c r="D6" s="1">
        <v>11403</v>
      </c>
      <c r="E6" s="2">
        <v>78</v>
      </c>
      <c r="F6" s="2">
        <v>141</v>
      </c>
      <c r="G6" s="2">
        <v>32</v>
      </c>
      <c r="H6" s="3">
        <v>39</v>
      </c>
      <c r="I6" s="3">
        <v>76</v>
      </c>
      <c r="J6" s="3">
        <v>6</v>
      </c>
      <c r="K6" s="4">
        <v>90</v>
      </c>
      <c r="L6" s="4">
        <v>120</v>
      </c>
      <c r="M6" s="4">
        <v>18</v>
      </c>
      <c r="N6" s="5">
        <v>41</v>
      </c>
      <c r="O6" s="5">
        <v>77</v>
      </c>
      <c r="P6" s="5">
        <v>23</v>
      </c>
      <c r="AA6">
        <f t="shared" si="0"/>
        <v>2.7450747915820575</v>
      </c>
      <c r="AB6">
        <f t="shared" si="1"/>
        <v>3.9103575572728775</v>
      </c>
      <c r="AC6">
        <f t="shared" si="2"/>
        <v>4.0570191243227658</v>
      </c>
      <c r="AF6">
        <f t="shared" si="3"/>
        <v>1.8920946026904804</v>
      </c>
      <c r="AG6">
        <f t="shared" si="4"/>
        <v>2.1492191126553797</v>
      </c>
      <c r="AH6">
        <f t="shared" si="5"/>
        <v>1.505149978319906</v>
      </c>
      <c r="AK6">
        <f t="shared" si="6"/>
        <v>1.5910646070264991</v>
      </c>
      <c r="AL6">
        <f t="shared" si="7"/>
        <v>1.8808135922807914</v>
      </c>
      <c r="AM6">
        <f t="shared" si="8"/>
        <v>0.77815125038364363</v>
      </c>
      <c r="AP6">
        <f t="shared" si="11"/>
        <v>1.954242509439325</v>
      </c>
      <c r="AQ6">
        <f t="shared" si="9"/>
        <v>2.0791812460476247</v>
      </c>
      <c r="AR6">
        <f t="shared" si="9"/>
        <v>1.255272505103306</v>
      </c>
      <c r="AU6">
        <f t="shared" si="12"/>
        <v>1.6127838567197355</v>
      </c>
      <c r="AV6">
        <f t="shared" si="10"/>
        <v>1.8864907251724818</v>
      </c>
      <c r="AW6">
        <f t="shared" si="10"/>
        <v>1.3617278360175928</v>
      </c>
    </row>
    <row r="7" spans="1:49" x14ac:dyDescent="0.25">
      <c r="A7">
        <v>7</v>
      </c>
      <c r="B7" s="1">
        <v>955</v>
      </c>
      <c r="C7" s="1">
        <v>15716</v>
      </c>
      <c r="D7" s="1">
        <v>22484</v>
      </c>
      <c r="E7" s="2">
        <v>92</v>
      </c>
      <c r="F7" s="2">
        <v>169</v>
      </c>
      <c r="G7" s="2">
        <v>41</v>
      </c>
      <c r="H7" s="3">
        <v>46</v>
      </c>
      <c r="I7" s="3">
        <v>89</v>
      </c>
      <c r="J7" s="3">
        <v>7</v>
      </c>
      <c r="K7" s="4">
        <v>105</v>
      </c>
      <c r="L7" s="4">
        <v>140</v>
      </c>
      <c r="M7" s="4">
        <v>21</v>
      </c>
      <c r="N7" s="5">
        <v>48</v>
      </c>
      <c r="O7" s="5">
        <v>90</v>
      </c>
      <c r="P7" s="5">
        <v>27</v>
      </c>
      <c r="AA7">
        <f t="shared" si="0"/>
        <v>2.9800033715837464</v>
      </c>
      <c r="AB7">
        <f t="shared" si="1"/>
        <v>4.1963420201397685</v>
      </c>
      <c r="AC7">
        <f t="shared" si="2"/>
        <v>4.3518735766208998</v>
      </c>
      <c r="AF7">
        <f t="shared" si="3"/>
        <v>1.9637878273455553</v>
      </c>
      <c r="AG7">
        <f t="shared" si="4"/>
        <v>2.2278867046136734</v>
      </c>
      <c r="AH7">
        <f t="shared" si="5"/>
        <v>1.6127838567197355</v>
      </c>
      <c r="AK7">
        <f t="shared" si="6"/>
        <v>1.6627578316815741</v>
      </c>
      <c r="AL7">
        <f t="shared" si="7"/>
        <v>1.9493900066449128</v>
      </c>
      <c r="AM7">
        <f t="shared" si="8"/>
        <v>0.84509804001425681</v>
      </c>
      <c r="AP7">
        <f t="shared" si="11"/>
        <v>2.0211892990699383</v>
      </c>
      <c r="AQ7">
        <f t="shared" si="9"/>
        <v>2.1461280356782382</v>
      </c>
      <c r="AR7">
        <f t="shared" si="9"/>
        <v>1.3222192947339193</v>
      </c>
      <c r="AU7">
        <f t="shared" si="12"/>
        <v>1.6812412373755872</v>
      </c>
      <c r="AV7">
        <f t="shared" si="10"/>
        <v>1.954242509439325</v>
      </c>
      <c r="AW7">
        <f t="shared" si="10"/>
        <v>1.4313637641589874</v>
      </c>
    </row>
    <row r="8" spans="1:49" x14ac:dyDescent="0.25">
      <c r="A8">
        <v>8</v>
      </c>
      <c r="B8" s="1">
        <v>1539</v>
      </c>
      <c r="C8" s="1">
        <v>28052</v>
      </c>
      <c r="D8" s="1">
        <v>40860</v>
      </c>
      <c r="E8" s="2">
        <v>106</v>
      </c>
      <c r="F8" s="2">
        <v>198</v>
      </c>
      <c r="G8" s="2">
        <v>51</v>
      </c>
      <c r="H8" s="3">
        <v>53</v>
      </c>
      <c r="I8" s="3">
        <v>102</v>
      </c>
      <c r="J8" s="3">
        <v>8</v>
      </c>
      <c r="K8" s="4">
        <v>120</v>
      </c>
      <c r="L8" s="4">
        <v>160</v>
      </c>
      <c r="M8" s="4">
        <v>24</v>
      </c>
      <c r="N8" s="5">
        <v>55</v>
      </c>
      <c r="O8" s="5">
        <v>103</v>
      </c>
      <c r="P8" s="5">
        <v>31</v>
      </c>
      <c r="AA8">
        <f t="shared" si="0"/>
        <v>3.1872386198314788</v>
      </c>
      <c r="AB8">
        <f t="shared" si="1"/>
        <v>4.4479638302267448</v>
      </c>
      <c r="AC8">
        <f t="shared" si="2"/>
        <v>4.611298362296429</v>
      </c>
      <c r="AF8">
        <f t="shared" si="3"/>
        <v>2.0253058652647704</v>
      </c>
      <c r="AG8">
        <f t="shared" si="4"/>
        <v>2.2966651902615309</v>
      </c>
      <c r="AH8">
        <f t="shared" si="5"/>
        <v>1.7075701760979363</v>
      </c>
      <c r="AK8">
        <f t="shared" si="6"/>
        <v>1.7242758696007889</v>
      </c>
      <c r="AL8">
        <f t="shared" si="7"/>
        <v>2.0086001717619175</v>
      </c>
      <c r="AM8">
        <f t="shared" si="8"/>
        <v>0.90308998699194354</v>
      </c>
      <c r="AP8">
        <f t="shared" si="11"/>
        <v>2.0791812460476247</v>
      </c>
      <c r="AQ8">
        <f t="shared" si="9"/>
        <v>2.2041199826559246</v>
      </c>
      <c r="AR8">
        <f t="shared" si="9"/>
        <v>1.3802112417116059</v>
      </c>
      <c r="AU8">
        <f t="shared" si="12"/>
        <v>1.7403626894942439</v>
      </c>
      <c r="AV8">
        <f t="shared" si="10"/>
        <v>2.012837224705172</v>
      </c>
      <c r="AW8">
        <f t="shared" si="10"/>
        <v>1.4913616938342726</v>
      </c>
    </row>
    <row r="9" spans="1:49" x14ac:dyDescent="0.25">
      <c r="A9">
        <v>9</v>
      </c>
      <c r="B9" s="1">
        <v>2358</v>
      </c>
      <c r="C9" s="1">
        <v>47069</v>
      </c>
      <c r="D9" s="1">
        <v>69651</v>
      </c>
      <c r="E9" s="2">
        <v>120</v>
      </c>
      <c r="F9" s="2">
        <v>228</v>
      </c>
      <c r="G9" s="2">
        <v>62</v>
      </c>
      <c r="H9" s="3">
        <v>60</v>
      </c>
      <c r="I9" s="3">
        <v>115</v>
      </c>
      <c r="J9" s="3">
        <v>9</v>
      </c>
      <c r="K9" s="4">
        <v>135</v>
      </c>
      <c r="L9" s="4">
        <v>180</v>
      </c>
      <c r="M9" s="4">
        <v>27</v>
      </c>
      <c r="N9" s="5">
        <v>62</v>
      </c>
      <c r="O9" s="5">
        <v>116</v>
      </c>
      <c r="P9" s="5">
        <v>35</v>
      </c>
      <c r="AA9">
        <f t="shared" si="0"/>
        <v>3.3725438007590705</v>
      </c>
      <c r="AB9">
        <f t="shared" si="1"/>
        <v>4.672734971642158</v>
      </c>
      <c r="AC9">
        <f t="shared" si="2"/>
        <v>4.8429273560990236</v>
      </c>
      <c r="AF9">
        <f t="shared" si="3"/>
        <v>2.0791812460476247</v>
      </c>
      <c r="AG9">
        <f t="shared" si="4"/>
        <v>2.357934847000454</v>
      </c>
      <c r="AH9">
        <f t="shared" si="5"/>
        <v>1.7923916894982539</v>
      </c>
      <c r="AK9">
        <f t="shared" si="6"/>
        <v>1.7781512503836436</v>
      </c>
      <c r="AL9">
        <f t="shared" si="7"/>
        <v>2.0606978403536118</v>
      </c>
      <c r="AM9">
        <f t="shared" si="8"/>
        <v>0.95424250943932487</v>
      </c>
      <c r="AP9">
        <f t="shared" si="11"/>
        <v>2.1303337684950061</v>
      </c>
      <c r="AQ9">
        <f t="shared" si="9"/>
        <v>2.255272505103306</v>
      </c>
      <c r="AR9">
        <f t="shared" si="9"/>
        <v>1.4313637641589874</v>
      </c>
      <c r="AU9">
        <f t="shared" si="12"/>
        <v>1.7923916894982539</v>
      </c>
      <c r="AV9">
        <f t="shared" si="10"/>
        <v>2.0644579892269186</v>
      </c>
      <c r="AW9">
        <f t="shared" si="10"/>
        <v>1.5440680443502757</v>
      </c>
    </row>
    <row r="10" spans="1:49" x14ac:dyDescent="0.25">
      <c r="A10">
        <v>10</v>
      </c>
      <c r="B10" s="1">
        <v>3468</v>
      </c>
      <c r="C10" s="1">
        <v>75149</v>
      </c>
      <c r="D10" s="1">
        <v>112761</v>
      </c>
      <c r="E10" s="2">
        <v>134</v>
      </c>
      <c r="F10" s="2">
        <v>259</v>
      </c>
      <c r="G10" s="2">
        <v>74</v>
      </c>
      <c r="H10" s="3">
        <v>67</v>
      </c>
      <c r="I10" s="3">
        <v>128</v>
      </c>
      <c r="J10" s="3">
        <v>10</v>
      </c>
      <c r="K10" s="4">
        <v>150</v>
      </c>
      <c r="L10" s="4">
        <v>200</v>
      </c>
      <c r="M10" s="4">
        <v>30</v>
      </c>
      <c r="N10" s="5">
        <v>69</v>
      </c>
      <c r="O10" s="5">
        <v>129</v>
      </c>
      <c r="P10" s="5">
        <v>39</v>
      </c>
      <c r="AA10">
        <f t="shared" si="0"/>
        <v>3.5400790888041729</v>
      </c>
      <c r="AB10">
        <f t="shared" si="1"/>
        <v>4.875923205849455</v>
      </c>
      <c r="AC10">
        <f t="shared" si="2"/>
        <v>5.0521589186766507</v>
      </c>
      <c r="AF10">
        <f t="shared" si="3"/>
        <v>2.1271047983648077</v>
      </c>
      <c r="AG10">
        <f t="shared" si="4"/>
        <v>2.4132997640812519</v>
      </c>
      <c r="AH10">
        <f t="shared" si="5"/>
        <v>1.8692317197309762</v>
      </c>
      <c r="AK10">
        <f t="shared" si="6"/>
        <v>1.8260748027008264</v>
      </c>
      <c r="AL10">
        <f t="shared" si="7"/>
        <v>2.1072099696478683</v>
      </c>
      <c r="AM10">
        <f t="shared" si="8"/>
        <v>1</v>
      </c>
      <c r="AP10">
        <f t="shared" si="11"/>
        <v>2.1760912590556813</v>
      </c>
      <c r="AQ10">
        <f t="shared" si="9"/>
        <v>2.3010299956639813</v>
      </c>
      <c r="AR10">
        <f t="shared" si="9"/>
        <v>1.4771212547196624</v>
      </c>
      <c r="AU10">
        <f t="shared" si="12"/>
        <v>1.8388490907372552</v>
      </c>
      <c r="AV10">
        <f t="shared" si="10"/>
        <v>2.1105897102992488</v>
      </c>
      <c r="AW10">
        <f t="shared" si="10"/>
        <v>1.5910646070264991</v>
      </c>
    </row>
    <row r="11" spans="1:49" x14ac:dyDescent="0.25">
      <c r="A11">
        <v>11</v>
      </c>
      <c r="B11" s="1">
        <v>4931</v>
      </c>
      <c r="C11" s="1">
        <v>115178</v>
      </c>
      <c r="D11" s="1">
        <v>174966</v>
      </c>
      <c r="E11" s="2">
        <v>148</v>
      </c>
      <c r="F11" s="2">
        <v>291</v>
      </c>
      <c r="G11" s="2">
        <v>87</v>
      </c>
      <c r="H11" s="3">
        <v>74</v>
      </c>
      <c r="I11" s="3">
        <v>141</v>
      </c>
      <c r="J11" s="3">
        <v>11</v>
      </c>
      <c r="K11" s="4">
        <v>165</v>
      </c>
      <c r="L11" s="4">
        <v>220</v>
      </c>
      <c r="M11" s="4">
        <v>33</v>
      </c>
      <c r="N11" s="5">
        <v>76</v>
      </c>
      <c r="O11" s="5">
        <v>142</v>
      </c>
      <c r="P11" s="5">
        <v>43</v>
      </c>
      <c r="AA11">
        <f t="shared" si="0"/>
        <v>3.6929350025311378</v>
      </c>
      <c r="AB11">
        <f t="shared" si="1"/>
        <v>5.0613695329844326</v>
      </c>
      <c r="AC11">
        <f t="shared" si="2"/>
        <v>5.242953663274962</v>
      </c>
      <c r="AF11">
        <f t="shared" si="3"/>
        <v>2.1702617153949575</v>
      </c>
      <c r="AG11">
        <f t="shared" si="4"/>
        <v>2.4638929889859074</v>
      </c>
      <c r="AH11">
        <f t="shared" si="5"/>
        <v>1.9395192526186185</v>
      </c>
      <c r="AK11">
        <f t="shared" si="6"/>
        <v>1.8692317197309762</v>
      </c>
      <c r="AL11">
        <f t="shared" si="7"/>
        <v>2.1492191126553797</v>
      </c>
      <c r="AM11">
        <f t="shared" si="8"/>
        <v>1.0413926851582251</v>
      </c>
      <c r="AP11">
        <f t="shared" si="11"/>
        <v>2.2174839442139063</v>
      </c>
      <c r="AQ11">
        <f t="shared" si="9"/>
        <v>2.3424226808222062</v>
      </c>
      <c r="AR11">
        <f t="shared" si="9"/>
        <v>1.5185139398778875</v>
      </c>
      <c r="AU11">
        <f t="shared" si="12"/>
        <v>1.8808135922807914</v>
      </c>
      <c r="AV11">
        <f t="shared" si="10"/>
        <v>2.1522883443830563</v>
      </c>
      <c r="AW11">
        <f t="shared" si="10"/>
        <v>1.6334684555795864</v>
      </c>
    </row>
    <row r="12" spans="1:49" x14ac:dyDescent="0.25">
      <c r="A12">
        <v>12</v>
      </c>
      <c r="B12" s="1">
        <v>6815</v>
      </c>
      <c r="C12" s="1">
        <v>170594</v>
      </c>
      <c r="D12" s="1">
        <v>262002</v>
      </c>
      <c r="E12" s="2">
        <v>162</v>
      </c>
      <c r="F12" s="2">
        <v>324</v>
      </c>
      <c r="G12" s="2">
        <v>101</v>
      </c>
      <c r="H12" s="3">
        <v>81</v>
      </c>
      <c r="I12" s="3">
        <v>154</v>
      </c>
      <c r="J12" s="3">
        <v>12</v>
      </c>
      <c r="K12" s="4">
        <v>180</v>
      </c>
      <c r="L12" s="4">
        <v>240</v>
      </c>
      <c r="M12" s="4">
        <v>36</v>
      </c>
      <c r="N12" s="5">
        <v>83</v>
      </c>
      <c r="O12" s="5">
        <v>155</v>
      </c>
      <c r="P12" s="5">
        <v>47</v>
      </c>
      <c r="AA12">
        <f t="shared" si="0"/>
        <v>3.8334658601706924</v>
      </c>
      <c r="AB12">
        <f t="shared" si="1"/>
        <v>5.2319637524310654</v>
      </c>
      <c r="AC12">
        <f t="shared" si="2"/>
        <v>5.4183046065321445</v>
      </c>
      <c r="AF12">
        <f t="shared" si="3"/>
        <v>2.2095150145426308</v>
      </c>
      <c r="AG12">
        <f t="shared" si="4"/>
        <v>2.510545010206612</v>
      </c>
      <c r="AH12">
        <f t="shared" si="5"/>
        <v>2.0043213737826426</v>
      </c>
      <c r="AK12">
        <f t="shared" si="6"/>
        <v>1.9084850188786497</v>
      </c>
      <c r="AL12">
        <f t="shared" si="7"/>
        <v>2.1875207208364631</v>
      </c>
      <c r="AM12">
        <f t="shared" si="8"/>
        <v>1.0791812460476249</v>
      </c>
      <c r="AP12">
        <f t="shared" si="11"/>
        <v>2.255272505103306</v>
      </c>
      <c r="AQ12">
        <f t="shared" si="9"/>
        <v>2.3802112417116059</v>
      </c>
      <c r="AR12">
        <f t="shared" si="9"/>
        <v>1.5563025007672873</v>
      </c>
      <c r="AU12">
        <f t="shared" si="12"/>
        <v>1.919078092376074</v>
      </c>
      <c r="AV12">
        <f t="shared" si="10"/>
        <v>2.1903316981702914</v>
      </c>
      <c r="AW12">
        <f t="shared" si="10"/>
        <v>1.6720978579357175</v>
      </c>
    </row>
    <row r="13" spans="1:49" x14ac:dyDescent="0.25">
      <c r="A13">
        <v>13</v>
      </c>
      <c r="B13" s="1">
        <v>9194</v>
      </c>
      <c r="C13" s="1">
        <v>245435</v>
      </c>
      <c r="D13" s="1">
        <v>380653</v>
      </c>
      <c r="E13" s="2">
        <v>176</v>
      </c>
      <c r="F13" s="2">
        <v>358</v>
      </c>
      <c r="G13" s="2">
        <v>116</v>
      </c>
      <c r="H13" s="3">
        <v>88</v>
      </c>
      <c r="I13" s="3">
        <v>167</v>
      </c>
      <c r="J13" s="3">
        <v>13</v>
      </c>
      <c r="K13" s="4">
        <v>195</v>
      </c>
      <c r="L13" s="4">
        <v>260</v>
      </c>
      <c r="M13" s="4">
        <v>39</v>
      </c>
      <c r="N13" s="5">
        <v>90</v>
      </c>
      <c r="O13" s="5">
        <v>168</v>
      </c>
      <c r="P13" s="5">
        <v>51</v>
      </c>
      <c r="AA13">
        <f t="shared" si="0"/>
        <v>3.9635044994142907</v>
      </c>
      <c r="AB13">
        <f t="shared" si="1"/>
        <v>5.389936494915041</v>
      </c>
      <c r="AC13">
        <f t="shared" si="2"/>
        <v>5.5805292569017242</v>
      </c>
      <c r="AF13">
        <f t="shared" si="3"/>
        <v>2.2455126678141499</v>
      </c>
      <c r="AG13">
        <f t="shared" si="4"/>
        <v>2.5538830266438746</v>
      </c>
      <c r="AH13">
        <f t="shared" si="5"/>
        <v>2.0644579892269186</v>
      </c>
      <c r="AK13">
        <f t="shared" si="6"/>
        <v>1.9444826721501687</v>
      </c>
      <c r="AL13">
        <f t="shared" si="7"/>
        <v>2.2227164711475833</v>
      </c>
      <c r="AM13">
        <f t="shared" si="8"/>
        <v>1.1139433523068367</v>
      </c>
      <c r="AP13">
        <f t="shared" si="11"/>
        <v>2.2900346113625178</v>
      </c>
      <c r="AQ13">
        <f t="shared" si="9"/>
        <v>2.4149733479708178</v>
      </c>
      <c r="AR13">
        <f t="shared" si="9"/>
        <v>1.5910646070264991</v>
      </c>
      <c r="AU13">
        <f t="shared" si="12"/>
        <v>1.954242509439325</v>
      </c>
      <c r="AV13">
        <f t="shared" si="10"/>
        <v>2.2253092817258628</v>
      </c>
      <c r="AW13">
        <f t="shared" si="10"/>
        <v>1.7075701760979363</v>
      </c>
    </row>
    <row r="14" spans="1:49" x14ac:dyDescent="0.25">
      <c r="A14">
        <v>14</v>
      </c>
      <c r="B14" s="1">
        <v>12148</v>
      </c>
      <c r="C14" s="1">
        <v>344387</v>
      </c>
      <c r="D14" s="1">
        <v>538839</v>
      </c>
      <c r="E14" s="2">
        <v>190</v>
      </c>
      <c r="F14" s="2">
        <v>393</v>
      </c>
      <c r="G14" s="2">
        <v>132</v>
      </c>
      <c r="H14" s="3">
        <v>95</v>
      </c>
      <c r="I14" s="3">
        <v>180</v>
      </c>
      <c r="J14" s="3">
        <v>14</v>
      </c>
      <c r="K14" s="4">
        <v>210</v>
      </c>
      <c r="L14" s="4">
        <v>280</v>
      </c>
      <c r="M14" s="4">
        <v>42</v>
      </c>
      <c r="N14" s="5">
        <v>97</v>
      </c>
      <c r="O14" s="5">
        <v>181</v>
      </c>
      <c r="P14" s="5">
        <v>55</v>
      </c>
      <c r="AA14">
        <f t="shared" si="0"/>
        <v>4.0845047832462278</v>
      </c>
      <c r="AB14">
        <f t="shared" si="1"/>
        <v>5.5370467492426405</v>
      </c>
      <c r="AC14">
        <f t="shared" si="2"/>
        <v>5.7314590214827037</v>
      </c>
      <c r="AF14">
        <f t="shared" si="3"/>
        <v>2.2787536009528289</v>
      </c>
      <c r="AG14">
        <f t="shared" si="4"/>
        <v>2.5943925503754266</v>
      </c>
      <c r="AH14">
        <f t="shared" si="5"/>
        <v>2.12057393120585</v>
      </c>
      <c r="AK14">
        <f t="shared" si="6"/>
        <v>1.9777236052888478</v>
      </c>
      <c r="AL14">
        <f t="shared" si="7"/>
        <v>2.255272505103306</v>
      </c>
      <c r="AM14">
        <f t="shared" si="8"/>
        <v>1.146128035678238</v>
      </c>
      <c r="AP14">
        <f t="shared" si="11"/>
        <v>2.3222192947339191</v>
      </c>
      <c r="AQ14">
        <f t="shared" si="9"/>
        <v>2.4471580313422194</v>
      </c>
      <c r="AR14">
        <f t="shared" si="9"/>
        <v>1.6232492903979006</v>
      </c>
      <c r="AU14">
        <f t="shared" si="12"/>
        <v>1.9867717342662448</v>
      </c>
      <c r="AV14">
        <f t="shared" si="10"/>
        <v>2.2576785748691846</v>
      </c>
      <c r="AW14">
        <f t="shared" si="10"/>
        <v>1.7403626894942439</v>
      </c>
    </row>
    <row r="15" spans="1:49" x14ac:dyDescent="0.25">
      <c r="A15">
        <v>15</v>
      </c>
      <c r="B15" s="1">
        <v>15763</v>
      </c>
      <c r="C15" s="1">
        <v>472832</v>
      </c>
      <c r="D15" s="1">
        <v>745704</v>
      </c>
      <c r="E15" s="2">
        <v>204</v>
      </c>
      <c r="F15" s="2">
        <v>429</v>
      </c>
      <c r="G15" s="2">
        <v>149</v>
      </c>
      <c r="H15" s="3">
        <v>102</v>
      </c>
      <c r="I15" s="3">
        <v>193</v>
      </c>
      <c r="J15" s="3">
        <v>15</v>
      </c>
      <c r="K15" s="4">
        <v>225</v>
      </c>
      <c r="L15" s="4">
        <v>300</v>
      </c>
      <c r="M15" s="4">
        <v>45</v>
      </c>
      <c r="N15" s="5">
        <v>104</v>
      </c>
      <c r="O15" s="5">
        <v>194</v>
      </c>
      <c r="P15" s="5">
        <v>59</v>
      </c>
      <c r="AA15">
        <f t="shared" si="0"/>
        <v>4.1976388755555698</v>
      </c>
      <c r="AB15">
        <f t="shared" si="1"/>
        <v>5.6747068607520914</v>
      </c>
      <c r="AC15">
        <f t="shared" si="2"/>
        <v>5.8725664726779767</v>
      </c>
      <c r="AF15">
        <f t="shared" si="3"/>
        <v>2.3096301674258988</v>
      </c>
      <c r="AG15">
        <f t="shared" si="4"/>
        <v>2.6324572921847245</v>
      </c>
      <c r="AH15">
        <f t="shared" si="5"/>
        <v>2.173186268412274</v>
      </c>
      <c r="AK15">
        <f t="shared" si="6"/>
        <v>2.0086001717619175</v>
      </c>
      <c r="AL15">
        <f t="shared" si="7"/>
        <v>2.2855573090077739</v>
      </c>
      <c r="AM15">
        <f t="shared" si="8"/>
        <v>1.1760912590556813</v>
      </c>
      <c r="AP15">
        <f t="shared" si="11"/>
        <v>2.3521825181113627</v>
      </c>
      <c r="AQ15">
        <f t="shared" si="9"/>
        <v>2.4771212547196626</v>
      </c>
      <c r="AR15">
        <f t="shared" si="9"/>
        <v>1.6532125137753437</v>
      </c>
      <c r="AU15">
        <f t="shared" si="12"/>
        <v>2.0170333392987803</v>
      </c>
      <c r="AV15">
        <f t="shared" si="10"/>
        <v>2.287801729930226</v>
      </c>
      <c r="AW15">
        <f t="shared" si="10"/>
        <v>1.7708520116421442</v>
      </c>
    </row>
    <row r="16" spans="1:49" x14ac:dyDescent="0.25">
      <c r="A16">
        <v>16</v>
      </c>
      <c r="B16" s="1">
        <v>20131</v>
      </c>
      <c r="C16" s="1">
        <v>636896</v>
      </c>
      <c r="D16" s="1">
        <v>1011704</v>
      </c>
      <c r="E16" s="2">
        <v>218</v>
      </c>
      <c r="F16" s="2">
        <v>466</v>
      </c>
      <c r="G16" s="2">
        <v>167</v>
      </c>
      <c r="H16" s="3">
        <v>109</v>
      </c>
      <c r="I16" s="3">
        <v>206</v>
      </c>
      <c r="J16" s="3">
        <v>16</v>
      </c>
      <c r="K16" s="4">
        <v>240</v>
      </c>
      <c r="L16" s="4">
        <v>320</v>
      </c>
      <c r="M16" s="4">
        <v>48</v>
      </c>
      <c r="N16" s="5">
        <v>111</v>
      </c>
      <c r="O16" s="5">
        <v>207</v>
      </c>
      <c r="P16" s="5">
        <v>63</v>
      </c>
      <c r="AA16">
        <f t="shared" si="0"/>
        <v>4.3038653488427041</v>
      </c>
      <c r="AB16">
        <f t="shared" si="1"/>
        <v>5.8040685213250036</v>
      </c>
      <c r="AC16">
        <f t="shared" si="2"/>
        <v>6.0050534670785991</v>
      </c>
      <c r="AF16">
        <f t="shared" si="3"/>
        <v>2.3384564936046046</v>
      </c>
      <c r="AG16">
        <f t="shared" si="4"/>
        <v>2.6683859166900001</v>
      </c>
      <c r="AH16">
        <f t="shared" si="5"/>
        <v>2.2227164711475833</v>
      </c>
      <c r="AK16">
        <f t="shared" si="6"/>
        <v>2.0374264979406238</v>
      </c>
      <c r="AL16">
        <f t="shared" si="7"/>
        <v>2.3138672203691533</v>
      </c>
      <c r="AM16">
        <f t="shared" si="8"/>
        <v>1.2041199826559248</v>
      </c>
      <c r="AP16">
        <f t="shared" si="11"/>
        <v>2.3802112417116059</v>
      </c>
      <c r="AQ16">
        <f t="shared" si="9"/>
        <v>2.5051499783199058</v>
      </c>
      <c r="AR16">
        <f t="shared" si="9"/>
        <v>1.6812412373755872</v>
      </c>
      <c r="AU16">
        <f t="shared" si="12"/>
        <v>2.0453229787866576</v>
      </c>
      <c r="AV16">
        <f t="shared" si="10"/>
        <v>2.3159703454569178</v>
      </c>
      <c r="AW16">
        <f t="shared" si="10"/>
        <v>1.7993405494535817</v>
      </c>
    </row>
    <row r="17" spans="1:49" x14ac:dyDescent="0.25">
      <c r="A17">
        <v>17</v>
      </c>
      <c r="B17" s="1">
        <v>25350</v>
      </c>
      <c r="C17" s="1">
        <v>843497</v>
      </c>
      <c r="D17" s="1">
        <v>1348695</v>
      </c>
      <c r="E17" s="2">
        <v>232</v>
      </c>
      <c r="F17" s="2">
        <v>504</v>
      </c>
      <c r="G17" s="2">
        <v>186</v>
      </c>
      <c r="H17" s="3">
        <v>116</v>
      </c>
      <c r="I17" s="3">
        <v>219</v>
      </c>
      <c r="J17" s="3">
        <v>17</v>
      </c>
      <c r="K17" s="4">
        <v>255</v>
      </c>
      <c r="L17" s="4">
        <v>340</v>
      </c>
      <c r="M17" s="4">
        <v>51</v>
      </c>
      <c r="N17" s="5">
        <v>118</v>
      </c>
      <c r="O17" s="5">
        <v>220</v>
      </c>
      <c r="P17" s="5">
        <v>67</v>
      </c>
      <c r="AA17">
        <f t="shared" si="0"/>
        <v>4.4039779636693543</v>
      </c>
      <c r="AB17">
        <f t="shared" si="1"/>
        <v>5.926083542306575</v>
      </c>
      <c r="AC17">
        <f t="shared" si="2"/>
        <v>6.1299137474529397</v>
      </c>
      <c r="AF17">
        <f t="shared" si="3"/>
        <v>2.3654879848908998</v>
      </c>
      <c r="AG17">
        <f t="shared" si="4"/>
        <v>2.7024305364455254</v>
      </c>
      <c r="AH17">
        <f t="shared" si="5"/>
        <v>2.2695129442179165</v>
      </c>
      <c r="AK17">
        <f t="shared" si="6"/>
        <v>2.0644579892269186</v>
      </c>
      <c r="AL17">
        <f t="shared" si="7"/>
        <v>2.3404441148401185</v>
      </c>
      <c r="AM17">
        <f t="shared" si="8"/>
        <v>1.2304489213782739</v>
      </c>
      <c r="AP17">
        <f t="shared" si="11"/>
        <v>2.406540180433955</v>
      </c>
      <c r="AQ17">
        <f t="shared" si="9"/>
        <v>2.5314789170422549</v>
      </c>
      <c r="AR17">
        <f t="shared" si="9"/>
        <v>1.7075701760979363</v>
      </c>
      <c r="AU17">
        <f t="shared" si="12"/>
        <v>2.0718820073061255</v>
      </c>
      <c r="AV17">
        <f t="shared" si="10"/>
        <v>2.3424226808222062</v>
      </c>
      <c r="AW17">
        <f t="shared" si="10"/>
        <v>1.8260748027008264</v>
      </c>
    </row>
    <row r="18" spans="1:49" x14ac:dyDescent="0.25">
      <c r="A18">
        <v>18</v>
      </c>
      <c r="B18" s="1">
        <v>31524</v>
      </c>
      <c r="C18" s="1">
        <v>1100393</v>
      </c>
      <c r="D18" s="1">
        <v>1770021</v>
      </c>
      <c r="E18" s="2">
        <v>246</v>
      </c>
      <c r="F18" s="2">
        <v>543</v>
      </c>
      <c r="G18" s="2">
        <v>206</v>
      </c>
      <c r="H18" s="3">
        <v>123</v>
      </c>
      <c r="I18" s="3">
        <v>232</v>
      </c>
      <c r="J18" s="3">
        <v>18</v>
      </c>
      <c r="K18" s="4">
        <v>270</v>
      </c>
      <c r="L18" s="4">
        <v>360</v>
      </c>
      <c r="M18" s="4">
        <v>54</v>
      </c>
      <c r="N18" s="5">
        <v>125</v>
      </c>
      <c r="O18" s="5">
        <v>233</v>
      </c>
      <c r="P18" s="5">
        <v>71</v>
      </c>
      <c r="AA18">
        <f t="shared" si="0"/>
        <v>4.4986413188336947</v>
      </c>
      <c r="AB18">
        <f t="shared" si="1"/>
        <v>6.0415478190213152</v>
      </c>
      <c r="AC18">
        <f t="shared" si="2"/>
        <v>6.2479784189776355</v>
      </c>
      <c r="AF18">
        <f t="shared" si="3"/>
        <v>2.3909351071033793</v>
      </c>
      <c r="AG18">
        <f t="shared" si="4"/>
        <v>2.7347998295888472</v>
      </c>
      <c r="AH18">
        <f t="shared" si="5"/>
        <v>2.3138672203691533</v>
      </c>
      <c r="AK18">
        <f t="shared" si="6"/>
        <v>2.0899051114393981</v>
      </c>
      <c r="AL18">
        <f t="shared" si="7"/>
        <v>2.3654879848908998</v>
      </c>
      <c r="AM18">
        <f t="shared" si="8"/>
        <v>1.255272505103306</v>
      </c>
      <c r="AP18">
        <f t="shared" si="11"/>
        <v>2.4313637641589874</v>
      </c>
      <c r="AQ18">
        <f t="shared" ref="AQ18:AQ20" si="13">LOG(L18)</f>
        <v>2.5563025007672873</v>
      </c>
      <c r="AR18">
        <f t="shared" ref="AR18:AR20" si="14">LOG(M18)</f>
        <v>1.7323937598229686</v>
      </c>
      <c r="AU18">
        <f t="shared" si="12"/>
        <v>2.0969100130080562</v>
      </c>
      <c r="AV18">
        <f t="shared" ref="AV18:AV20" si="15">LOG(O18)</f>
        <v>2.3673559210260189</v>
      </c>
      <c r="AW18">
        <f t="shared" ref="AW18:AW20" si="16">LOG(P18)</f>
        <v>1.8512583487190752</v>
      </c>
    </row>
    <row r="19" spans="1:49" x14ac:dyDescent="0.25">
      <c r="A19">
        <v>19</v>
      </c>
      <c r="B19" s="1">
        <v>38763</v>
      </c>
      <c r="C19" s="1">
        <v>1416230</v>
      </c>
      <c r="D19" s="1">
        <v>2290602</v>
      </c>
      <c r="E19" s="2">
        <v>260</v>
      </c>
      <c r="F19" s="2">
        <v>583</v>
      </c>
      <c r="G19" s="2">
        <v>227</v>
      </c>
      <c r="H19" s="3">
        <v>130</v>
      </c>
      <c r="I19" s="3">
        <v>245</v>
      </c>
      <c r="J19" s="3">
        <v>19</v>
      </c>
      <c r="K19" s="4">
        <v>285</v>
      </c>
      <c r="L19" s="4">
        <v>380</v>
      </c>
      <c r="M19" s="4">
        <v>57</v>
      </c>
      <c r="N19" s="5">
        <v>132</v>
      </c>
      <c r="O19" s="5">
        <v>246</v>
      </c>
      <c r="P19" s="5">
        <v>75</v>
      </c>
      <c r="AA19">
        <f t="shared" si="0"/>
        <v>4.5884173812019249</v>
      </c>
      <c r="AB19">
        <f t="shared" si="1"/>
        <v>6.151133789808104</v>
      </c>
      <c r="AC19">
        <f t="shared" si="2"/>
        <v>6.3599496355798379</v>
      </c>
      <c r="AF19">
        <f t="shared" si="3"/>
        <v>2.4149733479708178</v>
      </c>
      <c r="AG19">
        <f t="shared" si="4"/>
        <v>2.7656685547590141</v>
      </c>
      <c r="AH19">
        <f t="shared" si="5"/>
        <v>2.3560258571931225</v>
      </c>
      <c r="AK19">
        <f t="shared" si="6"/>
        <v>2.1139433523068369</v>
      </c>
      <c r="AL19">
        <f t="shared" si="7"/>
        <v>2.3891660843645326</v>
      </c>
      <c r="AM19">
        <f t="shared" si="8"/>
        <v>1.2787536009528289</v>
      </c>
      <c r="AP19">
        <f t="shared" si="11"/>
        <v>2.4548448600085102</v>
      </c>
      <c r="AQ19">
        <f t="shared" si="13"/>
        <v>2.5797835966168101</v>
      </c>
      <c r="AR19">
        <f t="shared" si="14"/>
        <v>1.7558748556724915</v>
      </c>
      <c r="AU19">
        <f t="shared" si="12"/>
        <v>2.12057393120585</v>
      </c>
      <c r="AV19">
        <f t="shared" si="15"/>
        <v>2.3909351071033793</v>
      </c>
      <c r="AW19">
        <f t="shared" si="16"/>
        <v>1.8750612633917001</v>
      </c>
    </row>
    <row r="20" spans="1:49" x14ac:dyDescent="0.25">
      <c r="A20">
        <v>20</v>
      </c>
      <c r="B20" s="1">
        <v>47183</v>
      </c>
      <c r="C20" s="1">
        <v>1800590</v>
      </c>
      <c r="D20" s="1">
        <v>2927022</v>
      </c>
      <c r="E20" s="2">
        <v>274</v>
      </c>
      <c r="F20" s="2">
        <v>624</v>
      </c>
      <c r="G20" s="2">
        <v>249</v>
      </c>
      <c r="H20" s="3">
        <v>137</v>
      </c>
      <c r="I20" s="3">
        <v>258</v>
      </c>
      <c r="J20" s="3">
        <v>20</v>
      </c>
      <c r="K20" s="4">
        <v>300</v>
      </c>
      <c r="L20" s="4">
        <v>400</v>
      </c>
      <c r="M20" s="4">
        <v>60</v>
      </c>
      <c r="N20" s="5">
        <v>139</v>
      </c>
      <c r="O20" s="5">
        <v>259</v>
      </c>
      <c r="P20" s="5">
        <v>79</v>
      </c>
      <c r="AA20">
        <f t="shared" si="0"/>
        <v>4.6737855508358148</v>
      </c>
      <c r="AB20">
        <f t="shared" si="1"/>
        <v>6.2554148338586577</v>
      </c>
      <c r="AC20">
        <f t="shared" si="2"/>
        <v>6.4664259866779652</v>
      </c>
      <c r="AF20">
        <f t="shared" si="3"/>
        <v>2.4377505628203879</v>
      </c>
      <c r="AG20">
        <f t="shared" si="4"/>
        <v>2.7951845896824241</v>
      </c>
      <c r="AH20">
        <f t="shared" si="5"/>
        <v>2.3961993470957363</v>
      </c>
      <c r="AK20">
        <f t="shared" si="6"/>
        <v>2.1367205671564067</v>
      </c>
      <c r="AL20">
        <f t="shared" si="7"/>
        <v>2.4116197059632301</v>
      </c>
      <c r="AM20">
        <f t="shared" si="8"/>
        <v>1.3010299956639813</v>
      </c>
      <c r="AP20">
        <f t="shared" si="11"/>
        <v>2.4771212547196626</v>
      </c>
      <c r="AQ20">
        <f t="shared" si="13"/>
        <v>2.6020599913279625</v>
      </c>
      <c r="AR20">
        <f t="shared" si="14"/>
        <v>1.7781512503836436</v>
      </c>
      <c r="AU20">
        <f t="shared" si="12"/>
        <v>2.143014800254095</v>
      </c>
      <c r="AV20">
        <f t="shared" si="15"/>
        <v>2.4132997640812519</v>
      </c>
      <c r="AW20">
        <f t="shared" si="16"/>
        <v>1.8976270912904414</v>
      </c>
    </row>
    <row r="21" spans="1:49" x14ac:dyDescent="0.25">
      <c r="E21" s="2"/>
      <c r="F21" s="2"/>
      <c r="G21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Alizhan Sholpanbekov</cp:lastModifiedBy>
  <dcterms:created xsi:type="dcterms:W3CDTF">2015-06-05T18:17:20Z</dcterms:created>
  <dcterms:modified xsi:type="dcterms:W3CDTF">2026-09-26T06:37:11Z</dcterms:modified>
</cp:coreProperties>
</file>