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A:\uni\masters nu\RA\pythonCode\ra\"/>
    </mc:Choice>
  </mc:AlternateContent>
  <xr:revisionPtr revIDLastSave="0" documentId="13_ncr:1_{0CB37C8B-08BE-46F0-8240-22502E21D89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100s" sheetId="1" r:id="rId1"/>
    <sheet name="5s" sheetId="2" r:id="rId2"/>
    <sheet name="5s 500" sheetId="3" r:id="rId3"/>
    <sheet name="10s 1000" sheetId="4" r:id="rId4"/>
    <sheet name="20s 2000" sheetId="5" r:id="rId5"/>
    <sheet name="30s 3000" sheetId="6" r:id="rId6"/>
    <sheet name="40s 4000" sheetId="7" r:id="rId7"/>
    <sheet name="50s 5000" sheetId="8" r:id="rId8"/>
    <sheet name="60s 6000" sheetId="9" r:id="rId9"/>
    <sheet name="70s 7000" sheetId="10" r:id="rId10"/>
    <sheet name="80s 8000" sheetId="11" r:id="rId11"/>
    <sheet name="90s 9000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5" l="1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" i="5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" i="4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" i="3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" i="4"/>
  <c r="F19" i="7"/>
  <c r="F20" i="7"/>
  <c r="F18" i="8"/>
  <c r="F19" i="8"/>
  <c r="F20" i="8"/>
  <c r="F19" i="6"/>
  <c r="F20" i="6"/>
  <c r="F18" i="7"/>
  <c r="H18" i="3"/>
  <c r="H19" i="3"/>
  <c r="H20" i="3"/>
  <c r="F18" i="6"/>
  <c r="G20" i="12"/>
  <c r="E20" i="12"/>
  <c r="G19" i="12"/>
  <c r="E19" i="12"/>
  <c r="G18" i="12"/>
  <c r="E18" i="12"/>
  <c r="G17" i="12"/>
  <c r="F17" i="12"/>
  <c r="E17" i="12"/>
  <c r="G16" i="12"/>
  <c r="F16" i="12"/>
  <c r="E16" i="12"/>
  <c r="G15" i="12"/>
  <c r="F15" i="12"/>
  <c r="E15" i="12"/>
  <c r="G14" i="12"/>
  <c r="F14" i="12"/>
  <c r="E14" i="12"/>
  <c r="G13" i="12"/>
  <c r="F13" i="12"/>
  <c r="E13" i="12"/>
  <c r="G12" i="12"/>
  <c r="F12" i="12"/>
  <c r="E12" i="12"/>
  <c r="G11" i="12"/>
  <c r="F11" i="12"/>
  <c r="E11" i="12"/>
  <c r="G10" i="12"/>
  <c r="F10" i="12"/>
  <c r="E10" i="12"/>
  <c r="G9" i="12"/>
  <c r="F9" i="12"/>
  <c r="E9" i="12"/>
  <c r="G8" i="12"/>
  <c r="F8" i="12"/>
  <c r="E8" i="12"/>
  <c r="G7" i="12"/>
  <c r="F7" i="12"/>
  <c r="E7" i="12"/>
  <c r="G6" i="12"/>
  <c r="F6" i="12"/>
  <c r="E6" i="12"/>
  <c r="G5" i="12"/>
  <c r="F5" i="12"/>
  <c r="E5" i="12"/>
  <c r="G4" i="12"/>
  <c r="F4" i="12"/>
  <c r="E4" i="12"/>
  <c r="G3" i="12"/>
  <c r="F3" i="12"/>
  <c r="E3" i="12"/>
  <c r="G2" i="12"/>
  <c r="F2" i="12"/>
  <c r="E2" i="12"/>
  <c r="J3" i="8"/>
  <c r="H18" i="4"/>
  <c r="H19" i="4"/>
  <c r="H20" i="4"/>
  <c r="H18" i="5"/>
  <c r="H19" i="5"/>
  <c r="H20" i="5"/>
  <c r="G20" i="11"/>
  <c r="E20" i="11"/>
  <c r="G19" i="11"/>
  <c r="E19" i="11"/>
  <c r="G18" i="11"/>
  <c r="E18" i="11"/>
  <c r="G17" i="11"/>
  <c r="F17" i="11"/>
  <c r="E17" i="11"/>
  <c r="G16" i="11"/>
  <c r="F16" i="11"/>
  <c r="E16" i="11"/>
  <c r="G15" i="11"/>
  <c r="F15" i="11"/>
  <c r="E15" i="11"/>
  <c r="G14" i="11"/>
  <c r="F14" i="11"/>
  <c r="E14" i="11"/>
  <c r="G13" i="11"/>
  <c r="F13" i="11"/>
  <c r="E13" i="11"/>
  <c r="G12" i="11"/>
  <c r="F12" i="11"/>
  <c r="E12" i="11"/>
  <c r="G11" i="11"/>
  <c r="F11" i="11"/>
  <c r="E11" i="11"/>
  <c r="G10" i="11"/>
  <c r="F10" i="11"/>
  <c r="E10" i="11"/>
  <c r="G9" i="11"/>
  <c r="F9" i="11"/>
  <c r="E9" i="11"/>
  <c r="G8" i="11"/>
  <c r="F8" i="11"/>
  <c r="E8" i="11"/>
  <c r="G7" i="11"/>
  <c r="F7" i="11"/>
  <c r="E7" i="11"/>
  <c r="G6" i="11"/>
  <c r="F6" i="11"/>
  <c r="E6" i="11"/>
  <c r="G5" i="11"/>
  <c r="F5" i="11"/>
  <c r="E5" i="11"/>
  <c r="G4" i="11"/>
  <c r="F4" i="11"/>
  <c r="E4" i="11"/>
  <c r="G3" i="11"/>
  <c r="F3" i="11"/>
  <c r="E3" i="11"/>
  <c r="G2" i="11"/>
  <c r="F2" i="11"/>
  <c r="E2" i="11"/>
  <c r="G20" i="10"/>
  <c r="E20" i="10"/>
  <c r="G19" i="10"/>
  <c r="E19" i="10"/>
  <c r="G18" i="10"/>
  <c r="E18" i="10"/>
  <c r="G17" i="10"/>
  <c r="F17" i="10"/>
  <c r="E17" i="10"/>
  <c r="G16" i="10"/>
  <c r="F16" i="10"/>
  <c r="E16" i="10"/>
  <c r="G15" i="10"/>
  <c r="F15" i="10"/>
  <c r="E15" i="10"/>
  <c r="G14" i="10"/>
  <c r="F14" i="10"/>
  <c r="E14" i="10"/>
  <c r="G13" i="10"/>
  <c r="F13" i="10"/>
  <c r="E13" i="10"/>
  <c r="G12" i="10"/>
  <c r="F12" i="10"/>
  <c r="E12" i="10"/>
  <c r="G11" i="10"/>
  <c r="F11" i="10"/>
  <c r="E11" i="10"/>
  <c r="G10" i="10"/>
  <c r="F10" i="10"/>
  <c r="E10" i="10"/>
  <c r="G9" i="10"/>
  <c r="F9" i="10"/>
  <c r="E9" i="10"/>
  <c r="G8" i="10"/>
  <c r="F8" i="10"/>
  <c r="E8" i="10"/>
  <c r="G7" i="10"/>
  <c r="F7" i="10"/>
  <c r="E7" i="10"/>
  <c r="G6" i="10"/>
  <c r="F6" i="10"/>
  <c r="E6" i="10"/>
  <c r="G5" i="10"/>
  <c r="F5" i="10"/>
  <c r="E5" i="10"/>
  <c r="G4" i="10"/>
  <c r="F4" i="10"/>
  <c r="E4" i="10"/>
  <c r="G3" i="10"/>
  <c r="F3" i="10"/>
  <c r="E3" i="10"/>
  <c r="G2" i="10"/>
  <c r="F2" i="10"/>
  <c r="E2" i="10"/>
  <c r="G20" i="9"/>
  <c r="E20" i="9"/>
  <c r="G19" i="9"/>
  <c r="E19" i="9"/>
  <c r="G18" i="9"/>
  <c r="E18" i="9"/>
  <c r="G17" i="9"/>
  <c r="F17" i="9"/>
  <c r="E17" i="9"/>
  <c r="G16" i="9"/>
  <c r="F16" i="9"/>
  <c r="E16" i="9"/>
  <c r="G15" i="9"/>
  <c r="F15" i="9"/>
  <c r="E15" i="9"/>
  <c r="G14" i="9"/>
  <c r="F14" i="9"/>
  <c r="E14" i="9"/>
  <c r="G13" i="9"/>
  <c r="F13" i="9"/>
  <c r="E13" i="9"/>
  <c r="G12" i="9"/>
  <c r="F12" i="9"/>
  <c r="E12" i="9"/>
  <c r="G11" i="9"/>
  <c r="F11" i="9"/>
  <c r="E11" i="9"/>
  <c r="G10" i="9"/>
  <c r="F10" i="9"/>
  <c r="E10" i="9"/>
  <c r="G9" i="9"/>
  <c r="F9" i="9"/>
  <c r="E9" i="9"/>
  <c r="G8" i="9"/>
  <c r="F8" i="9"/>
  <c r="E8" i="9"/>
  <c r="G7" i="9"/>
  <c r="F7" i="9"/>
  <c r="E7" i="9"/>
  <c r="G6" i="9"/>
  <c r="F6" i="9"/>
  <c r="E6" i="9"/>
  <c r="G5" i="9"/>
  <c r="F5" i="9"/>
  <c r="E5" i="9"/>
  <c r="G4" i="9"/>
  <c r="F4" i="9"/>
  <c r="E4" i="9"/>
  <c r="G3" i="9"/>
  <c r="F3" i="9"/>
  <c r="E3" i="9"/>
  <c r="G2" i="9"/>
  <c r="F2" i="9"/>
  <c r="E2" i="9"/>
  <c r="G20" i="8"/>
  <c r="E20" i="8"/>
  <c r="G19" i="8"/>
  <c r="E19" i="8"/>
  <c r="G18" i="8"/>
  <c r="E18" i="8"/>
  <c r="G17" i="8"/>
  <c r="F17" i="8"/>
  <c r="E17" i="8"/>
  <c r="G16" i="8"/>
  <c r="F16" i="8"/>
  <c r="E16" i="8"/>
  <c r="G15" i="8"/>
  <c r="F15" i="8"/>
  <c r="E15" i="8"/>
  <c r="G14" i="8"/>
  <c r="F14" i="8"/>
  <c r="E14" i="8"/>
  <c r="G13" i="8"/>
  <c r="F13" i="8"/>
  <c r="E13" i="8"/>
  <c r="G12" i="8"/>
  <c r="F12" i="8"/>
  <c r="E12" i="8"/>
  <c r="G11" i="8"/>
  <c r="F11" i="8"/>
  <c r="E11" i="8"/>
  <c r="G10" i="8"/>
  <c r="F10" i="8"/>
  <c r="E10" i="8"/>
  <c r="G9" i="8"/>
  <c r="F9" i="8"/>
  <c r="E9" i="8"/>
  <c r="G8" i="8"/>
  <c r="F8" i="8"/>
  <c r="E8" i="8"/>
  <c r="G7" i="8"/>
  <c r="F7" i="8"/>
  <c r="E7" i="8"/>
  <c r="G6" i="8"/>
  <c r="F6" i="8"/>
  <c r="E6" i="8"/>
  <c r="G5" i="8"/>
  <c r="F5" i="8"/>
  <c r="E5" i="8"/>
  <c r="G4" i="8"/>
  <c r="F4" i="8"/>
  <c r="E4" i="8"/>
  <c r="G3" i="8"/>
  <c r="F3" i="8"/>
  <c r="E3" i="8"/>
  <c r="G2" i="8"/>
  <c r="F2" i="8"/>
  <c r="E2" i="8"/>
  <c r="G20" i="7"/>
  <c r="E20" i="7"/>
  <c r="G19" i="7"/>
  <c r="E19" i="7"/>
  <c r="G18" i="7"/>
  <c r="E18" i="7"/>
  <c r="G17" i="7"/>
  <c r="F17" i="7"/>
  <c r="E17" i="7"/>
  <c r="G16" i="7"/>
  <c r="F16" i="7"/>
  <c r="E16" i="7"/>
  <c r="G15" i="7"/>
  <c r="F15" i="7"/>
  <c r="E15" i="7"/>
  <c r="G14" i="7"/>
  <c r="F14" i="7"/>
  <c r="E14" i="7"/>
  <c r="G13" i="7"/>
  <c r="F13" i="7"/>
  <c r="E13" i="7"/>
  <c r="G12" i="7"/>
  <c r="F12" i="7"/>
  <c r="E12" i="7"/>
  <c r="G11" i="7"/>
  <c r="F11" i="7"/>
  <c r="E11" i="7"/>
  <c r="G10" i="7"/>
  <c r="F10" i="7"/>
  <c r="E10" i="7"/>
  <c r="G9" i="7"/>
  <c r="F9" i="7"/>
  <c r="E9" i="7"/>
  <c r="G8" i="7"/>
  <c r="F8" i="7"/>
  <c r="E8" i="7"/>
  <c r="G7" i="7"/>
  <c r="F7" i="7"/>
  <c r="E7" i="7"/>
  <c r="G6" i="7"/>
  <c r="F6" i="7"/>
  <c r="E6" i="7"/>
  <c r="G5" i="7"/>
  <c r="F5" i="7"/>
  <c r="E5" i="7"/>
  <c r="G4" i="7"/>
  <c r="F4" i="7"/>
  <c r="E4" i="7"/>
  <c r="G3" i="7"/>
  <c r="F3" i="7"/>
  <c r="E3" i="7"/>
  <c r="G2" i="7"/>
  <c r="F2" i="7"/>
  <c r="E2" i="7"/>
  <c r="G20" i="6"/>
  <c r="E20" i="6"/>
  <c r="G19" i="6"/>
  <c r="E19" i="6"/>
  <c r="G18" i="6"/>
  <c r="E18" i="6"/>
  <c r="G17" i="6"/>
  <c r="F17" i="6"/>
  <c r="E17" i="6"/>
  <c r="G16" i="6"/>
  <c r="F16" i="6"/>
  <c r="E16" i="6"/>
  <c r="G15" i="6"/>
  <c r="F15" i="6"/>
  <c r="E15" i="6"/>
  <c r="G14" i="6"/>
  <c r="F14" i="6"/>
  <c r="E14" i="6"/>
  <c r="G13" i="6"/>
  <c r="F13" i="6"/>
  <c r="E13" i="6"/>
  <c r="G12" i="6"/>
  <c r="F12" i="6"/>
  <c r="E12" i="6"/>
  <c r="G11" i="6"/>
  <c r="F11" i="6"/>
  <c r="E11" i="6"/>
  <c r="G10" i="6"/>
  <c r="F10" i="6"/>
  <c r="E10" i="6"/>
  <c r="G9" i="6"/>
  <c r="F9" i="6"/>
  <c r="E9" i="6"/>
  <c r="G8" i="6"/>
  <c r="F8" i="6"/>
  <c r="E8" i="6"/>
  <c r="G7" i="6"/>
  <c r="F7" i="6"/>
  <c r="E7" i="6"/>
  <c r="G6" i="6"/>
  <c r="F6" i="6"/>
  <c r="E6" i="6"/>
  <c r="G5" i="6"/>
  <c r="F5" i="6"/>
  <c r="E5" i="6"/>
  <c r="G4" i="6"/>
  <c r="F4" i="6"/>
  <c r="E4" i="6"/>
  <c r="G3" i="6"/>
  <c r="F3" i="6"/>
  <c r="E3" i="6"/>
  <c r="G2" i="6"/>
  <c r="F2" i="6"/>
  <c r="E2" i="6"/>
  <c r="I20" i="5"/>
  <c r="G20" i="5"/>
  <c r="I19" i="5"/>
  <c r="G19" i="5"/>
  <c r="I18" i="5"/>
  <c r="G18" i="5"/>
  <c r="I17" i="5"/>
  <c r="H17" i="5"/>
  <c r="G17" i="5"/>
  <c r="I16" i="5"/>
  <c r="H16" i="5"/>
  <c r="G16" i="5"/>
  <c r="I15" i="5"/>
  <c r="H15" i="5"/>
  <c r="G15" i="5"/>
  <c r="I14" i="5"/>
  <c r="H14" i="5"/>
  <c r="G14" i="5"/>
  <c r="I13" i="5"/>
  <c r="H13" i="5"/>
  <c r="G13" i="5"/>
  <c r="I12" i="5"/>
  <c r="H12" i="5"/>
  <c r="G12" i="5"/>
  <c r="I11" i="5"/>
  <c r="H11" i="5"/>
  <c r="G11" i="5"/>
  <c r="I10" i="5"/>
  <c r="H10" i="5"/>
  <c r="G10" i="5"/>
  <c r="I9" i="5"/>
  <c r="H9" i="5"/>
  <c r="G9" i="5"/>
  <c r="I8" i="5"/>
  <c r="H8" i="5"/>
  <c r="G8" i="5"/>
  <c r="I7" i="5"/>
  <c r="H7" i="5"/>
  <c r="G7" i="5"/>
  <c r="I6" i="5"/>
  <c r="H6" i="5"/>
  <c r="G6" i="5"/>
  <c r="I5" i="5"/>
  <c r="H5" i="5"/>
  <c r="G5" i="5"/>
  <c r="I4" i="5"/>
  <c r="H4" i="5"/>
  <c r="G4" i="5"/>
  <c r="I3" i="5"/>
  <c r="H3" i="5"/>
  <c r="G3" i="5"/>
  <c r="I2" i="5"/>
  <c r="H2" i="5"/>
  <c r="G2" i="5"/>
  <c r="I20" i="4"/>
  <c r="G20" i="4"/>
  <c r="I19" i="4"/>
  <c r="G19" i="4"/>
  <c r="I18" i="4"/>
  <c r="G18" i="4"/>
  <c r="I17" i="4"/>
  <c r="H17" i="4"/>
  <c r="G17" i="4"/>
  <c r="I16" i="4"/>
  <c r="H16" i="4"/>
  <c r="G16" i="4"/>
  <c r="I15" i="4"/>
  <c r="H15" i="4"/>
  <c r="G15" i="4"/>
  <c r="I14" i="4"/>
  <c r="H14" i="4"/>
  <c r="G14" i="4"/>
  <c r="I13" i="4"/>
  <c r="H13" i="4"/>
  <c r="G13" i="4"/>
  <c r="I12" i="4"/>
  <c r="H12" i="4"/>
  <c r="G12" i="4"/>
  <c r="I11" i="4"/>
  <c r="H11" i="4"/>
  <c r="G11" i="4"/>
  <c r="I10" i="4"/>
  <c r="H10" i="4"/>
  <c r="G10" i="4"/>
  <c r="I9" i="4"/>
  <c r="H9" i="4"/>
  <c r="G9" i="4"/>
  <c r="I8" i="4"/>
  <c r="H8" i="4"/>
  <c r="G8" i="4"/>
  <c r="I7" i="4"/>
  <c r="H7" i="4"/>
  <c r="G7" i="4"/>
  <c r="I6" i="4"/>
  <c r="H6" i="4"/>
  <c r="G6" i="4"/>
  <c r="I5" i="4"/>
  <c r="H5" i="4"/>
  <c r="G5" i="4"/>
  <c r="I4" i="4"/>
  <c r="H4" i="4"/>
  <c r="G4" i="4"/>
  <c r="I3" i="4"/>
  <c r="H3" i="4"/>
  <c r="G3" i="4"/>
  <c r="I2" i="4"/>
  <c r="H2" i="4"/>
  <c r="G2" i="4"/>
  <c r="H17" i="3"/>
  <c r="I17" i="3"/>
  <c r="I18" i="3"/>
  <c r="I19" i="3"/>
  <c r="I20" i="3"/>
  <c r="G17" i="3"/>
  <c r="G18" i="3"/>
  <c r="G19" i="3"/>
  <c r="G20" i="3"/>
  <c r="I16" i="3"/>
  <c r="H16" i="3"/>
  <c r="I11" i="3"/>
  <c r="G16" i="3"/>
  <c r="I12" i="3"/>
  <c r="I13" i="3"/>
  <c r="I14" i="3"/>
  <c r="I15" i="3"/>
  <c r="H11" i="3"/>
  <c r="H12" i="3"/>
  <c r="H13" i="3"/>
  <c r="H14" i="3"/>
  <c r="H15" i="3"/>
  <c r="G11" i="3"/>
  <c r="G12" i="3"/>
  <c r="G13" i="3"/>
  <c r="G14" i="3"/>
  <c r="G15" i="3"/>
  <c r="I10" i="3"/>
  <c r="H10" i="3"/>
  <c r="G10" i="3"/>
  <c r="I9" i="3"/>
  <c r="H9" i="3"/>
  <c r="G9" i="3"/>
  <c r="I8" i="3"/>
  <c r="H8" i="3"/>
  <c r="G8" i="3"/>
  <c r="I7" i="3"/>
  <c r="H7" i="3"/>
  <c r="G7" i="3"/>
  <c r="I6" i="3"/>
  <c r="H6" i="3"/>
  <c r="G6" i="3"/>
  <c r="I5" i="3"/>
  <c r="H5" i="3"/>
  <c r="G5" i="3"/>
  <c r="I4" i="3"/>
  <c r="H4" i="3"/>
  <c r="G4" i="3"/>
  <c r="I3" i="3"/>
  <c r="H3" i="3"/>
  <c r="G3" i="3"/>
  <c r="I2" i="3"/>
  <c r="H2" i="3"/>
  <c r="G2" i="3"/>
  <c r="G10" i="2"/>
  <c r="F10" i="2"/>
  <c r="E10" i="2"/>
  <c r="G9" i="2"/>
  <c r="F9" i="2"/>
  <c r="E9" i="2"/>
  <c r="G8" i="2"/>
  <c r="F8" i="2"/>
  <c r="E8" i="2"/>
  <c r="G7" i="2"/>
  <c r="F7" i="2"/>
  <c r="E7" i="2"/>
  <c r="G6" i="2"/>
  <c r="F6" i="2"/>
  <c r="E6" i="2"/>
  <c r="G5" i="2"/>
  <c r="F5" i="2"/>
  <c r="E5" i="2"/>
  <c r="G4" i="2"/>
  <c r="F4" i="2"/>
  <c r="E4" i="2"/>
  <c r="G3" i="2"/>
  <c r="F3" i="2"/>
  <c r="E3" i="2"/>
  <c r="G2" i="2"/>
  <c r="F2" i="2"/>
  <c r="E2" i="2"/>
  <c r="J10" i="1"/>
  <c r="G9" i="1"/>
  <c r="G10" i="1"/>
  <c r="F9" i="1"/>
  <c r="F10" i="1"/>
  <c r="E10" i="1"/>
  <c r="E9" i="1"/>
  <c r="G8" i="1"/>
  <c r="F8" i="1"/>
  <c r="E8" i="1"/>
  <c r="G7" i="1"/>
  <c r="F7" i="1"/>
  <c r="E7" i="1"/>
  <c r="G6" i="1"/>
  <c r="F6" i="1"/>
  <c r="E6" i="1"/>
  <c r="G5" i="1"/>
  <c r="F5" i="1"/>
  <c r="E5" i="1"/>
  <c r="G4" i="1"/>
  <c r="F4" i="1"/>
  <c r="E4" i="1"/>
  <c r="G3" i="1"/>
  <c r="F3" i="1"/>
  <c r="E3" i="1"/>
  <c r="G2" i="1"/>
  <c r="F2" i="1"/>
  <c r="E2" i="1"/>
</calcChain>
</file>

<file path=xl/sharedStrings.xml><?xml version="1.0" encoding="utf-8"?>
<sst xmlns="http://schemas.openxmlformats.org/spreadsheetml/2006/main" count="97" uniqueCount="12">
  <si>
    <t>n</t>
  </si>
  <si>
    <t>NE time</t>
  </si>
  <si>
    <t>LE time</t>
  </si>
  <si>
    <t>Ftst time</t>
  </si>
  <si>
    <t>Log NE</t>
  </si>
  <si>
    <t>Log LE</t>
  </si>
  <si>
    <t>Log Ftst</t>
  </si>
  <si>
    <t xml:space="preserve"> </t>
  </si>
  <si>
    <t>GA time</t>
  </si>
  <si>
    <t>Log GA</t>
  </si>
  <si>
    <t>Lie time</t>
  </si>
  <si>
    <t>Log 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</si>
</sst>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</a:t>
            </a:r>
            <a:r>
              <a:rPr lang="en-US" baseline="0"/>
              <a:t> vs 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'100s'!$A$1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'100s'!$A$2:$A$8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cat>
          <c:val>
            <c:numRef>
              <c:f>'100s'!$A$2:$A$8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71-491B-B4B8-964B665A7A21}"/>
            </c:ext>
          </c:extLst>
        </c:ser>
        <c:ser>
          <c:idx val="1"/>
          <c:order val="1"/>
          <c:tx>
            <c:strRef>
              <c:f>'100s'!$B$1</c:f>
              <c:strCache>
                <c:ptCount val="1"/>
                <c:pt idx="0">
                  <c:v>NE 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'100s'!$A$2:$A$8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cat>
          <c:val>
            <c:numRef>
              <c:f>'100s'!$B$2:$B$8</c:f>
              <c:numCache>
                <c:formatCode>General</c:formatCode>
                <c:ptCount val="7"/>
                <c:pt idx="0">
                  <c:v>5.1044999999999998</c:v>
                </c:pt>
                <c:pt idx="1">
                  <c:v>7.6477000000000004</c:v>
                </c:pt>
                <c:pt idx="2">
                  <c:v>10.628</c:v>
                </c:pt>
                <c:pt idx="3">
                  <c:v>13.7247</c:v>
                </c:pt>
                <c:pt idx="4">
                  <c:v>16.287700000000001</c:v>
                </c:pt>
                <c:pt idx="5">
                  <c:v>19.545200000000001</c:v>
                </c:pt>
                <c:pt idx="6">
                  <c:v>24.0747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71-491B-B4B8-964B665A7A21}"/>
            </c:ext>
          </c:extLst>
        </c:ser>
        <c:ser>
          <c:idx val="2"/>
          <c:order val="2"/>
          <c:tx>
            <c:strRef>
              <c:f>'100s'!$C$1</c:f>
              <c:strCache>
                <c:ptCount val="1"/>
                <c:pt idx="0">
                  <c:v>LE time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'100s'!$A$2:$A$8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cat>
          <c:val>
            <c:numRef>
              <c:f>'100s'!$C$2:$C$8</c:f>
              <c:numCache>
                <c:formatCode>General</c:formatCode>
                <c:ptCount val="7"/>
                <c:pt idx="0">
                  <c:v>12.662100000000001</c:v>
                </c:pt>
                <c:pt idx="1">
                  <c:v>53.881100000000004</c:v>
                </c:pt>
                <c:pt idx="2">
                  <c:v>156.5943</c:v>
                </c:pt>
                <c:pt idx="3">
                  <c:v>344.43310000000002</c:v>
                </c:pt>
                <c:pt idx="4">
                  <c:v>855.30179999999996</c:v>
                </c:pt>
                <c:pt idx="5">
                  <c:v>1441.6273000000001</c:v>
                </c:pt>
                <c:pt idx="6">
                  <c:v>2788.8561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71-491B-B4B8-964B665A7A21}"/>
            </c:ext>
          </c:extLst>
        </c:ser>
        <c:ser>
          <c:idx val="3"/>
          <c:order val="3"/>
          <c:tx>
            <c:strRef>
              <c:f>'100s'!$D$1</c:f>
              <c:strCache>
                <c:ptCount val="1"/>
                <c:pt idx="0">
                  <c:v>Ftst time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'100s'!$A$2:$A$8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cat>
          <c:val>
            <c:numRef>
              <c:f>'100s'!$D$2:$D$8</c:f>
              <c:numCache>
                <c:formatCode>General</c:formatCode>
                <c:ptCount val="7"/>
                <c:pt idx="0">
                  <c:v>2.0602999999999998</c:v>
                </c:pt>
                <c:pt idx="1">
                  <c:v>3.0825999999999998</c:v>
                </c:pt>
                <c:pt idx="2">
                  <c:v>4.2058999999999997</c:v>
                </c:pt>
                <c:pt idx="3">
                  <c:v>4.8621999999999996</c:v>
                </c:pt>
                <c:pt idx="4">
                  <c:v>5.2453000000000003</c:v>
                </c:pt>
                <c:pt idx="5">
                  <c:v>6.1509</c:v>
                </c:pt>
                <c:pt idx="6">
                  <c:v>6.9653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71-491B-B4B8-964B665A7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4673679"/>
        <c:axId val="1924675599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'100s'!$E$1</c15:sqref>
                        </c15:formulaRef>
                      </c:ext>
                    </c:extLst>
                    <c:strCache>
                      <c:ptCount val="1"/>
                      <c:pt idx="0">
                        <c:v>Log NE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'100s'!$A$2:$A$8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  <c:pt idx="6">
                        <c:v>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'100s'!$E$2:$E$20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>
                        <c:v>0.70795320815149065</c:v>
                      </c:pt>
                      <c:pt idx="1">
                        <c:v>0.88353084332400877</c:v>
                      </c:pt>
                      <c:pt idx="2">
                        <c:v>1.0264515457382399</c:v>
                      </c:pt>
                      <c:pt idx="3">
                        <c:v>1.1375028602428212</c:v>
                      </c:pt>
                      <c:pt idx="4">
                        <c:v>1.2118597615441622</c:v>
                      </c:pt>
                      <c:pt idx="5">
                        <c:v>1.2910401187924143</c:v>
                      </c:pt>
                      <c:pt idx="6">
                        <c:v>1.3815608839936087</c:v>
                      </c:pt>
                      <c:pt idx="7">
                        <c:v>1.4676850436167821</c:v>
                      </c:pt>
                      <c:pt idx="8">
                        <c:v>1.5243299017533518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6E71-491B-B4B8-964B665A7A21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'100s'!$F$1</c15:sqref>
                        </c15:formulaRef>
                      </c:ext>
                    </c:extLst>
                    <c:strCache>
                      <c:ptCount val="1"/>
                      <c:pt idx="0">
                        <c:v>Log LE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'100s'!$A$2:$A$8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  <c:pt idx="6">
                        <c:v>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'100s'!$F$2:$F$20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>
                        <c:v>1.1025057390762039</c:v>
                      </c:pt>
                      <c:pt idx="1">
                        <c:v>1.7314364534030939</c:v>
                      </c:pt>
                      <c:pt idx="2">
                        <c:v>2.1947759497806745</c:v>
                      </c:pt>
                      <c:pt idx="3">
                        <c:v>2.5371048804604892</c:v>
                      </c:pt>
                      <c:pt idx="4">
                        <c:v>2.932119386011637</c:v>
                      </c:pt>
                      <c:pt idx="5">
                        <c:v>3.1588529979184887</c:v>
                      </c:pt>
                      <c:pt idx="6">
                        <c:v>3.4454261060235858</c:v>
                      </c:pt>
                      <c:pt idx="7">
                        <c:v>3.688147252296706</c:v>
                      </c:pt>
                      <c:pt idx="8">
                        <c:v>3.8879458334529748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E71-491B-B4B8-964B665A7A21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'100s'!$G$1</c15:sqref>
                        </c15:formulaRef>
                      </c:ext>
                    </c:extLst>
                    <c:strCache>
                      <c:ptCount val="1"/>
                      <c:pt idx="0">
                        <c:v>Log Ftst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'100s'!$A$2:$A$8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  <c:pt idx="6">
                        <c:v>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'100s'!$G$2:$G$20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>
                        <c:v>0.31393046253346235</c:v>
                      </c:pt>
                      <c:pt idx="1">
                        <c:v>0.4889171740735288</c:v>
                      </c:pt>
                      <c:pt idx="2">
                        <c:v>0.62385894263359321</c:v>
                      </c:pt>
                      <c:pt idx="3">
                        <c:v>0.68683281898900028</c:v>
                      </c:pt>
                      <c:pt idx="4">
                        <c:v>0.71977033230434129</c:v>
                      </c:pt>
                      <c:pt idx="5">
                        <c:v>0.78893866641551791</c:v>
                      </c:pt>
                      <c:pt idx="6">
                        <c:v>0.84293982650854349</c:v>
                      </c:pt>
                      <c:pt idx="7">
                        <c:v>0.88384873747566517</c:v>
                      </c:pt>
                      <c:pt idx="8">
                        <c:v>0.934670115130671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E71-491B-B4B8-964B665A7A21}"/>
                  </c:ext>
                </c:extLst>
              </c15:ser>
            </c15:filteredBarSeries>
          </c:ext>
        </c:extLst>
      </c:barChart>
      <c:catAx>
        <c:axId val="192467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675599"/>
        <c:crosses val="autoZero"/>
        <c:auto val="1"/>
        <c:lblAlgn val="ctr"/>
        <c:lblOffset val="100"/>
        <c:noMultiLvlLbl val="0"/>
      </c:catAx>
      <c:valAx>
        <c:axId val="192467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673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'100s'!$E$1</c:f>
              <c:strCache>
                <c:ptCount val="1"/>
                <c:pt idx="0">
                  <c:v>Log 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'100s'!$A$2:$A$10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numCache>
            </c:numRef>
          </c:cat>
          <c:val>
            <c:numRef>
              <c:f>'100s'!$E$2:$E$11</c:f>
              <c:numCache>
                <c:formatCode>General</c:formatCode>
                <c:ptCount val="10"/>
                <c:pt idx="0">
                  <c:v>0.70795320815149065</c:v>
                </c:pt>
                <c:pt idx="1">
                  <c:v>0.88353084332400877</c:v>
                </c:pt>
                <c:pt idx="2">
                  <c:v>1.0264515457382399</c:v>
                </c:pt>
                <c:pt idx="3">
                  <c:v>1.1375028602428212</c:v>
                </c:pt>
                <c:pt idx="4">
                  <c:v>1.2118597615441622</c:v>
                </c:pt>
                <c:pt idx="5">
                  <c:v>1.2910401187924143</c:v>
                </c:pt>
                <c:pt idx="6">
                  <c:v>1.3815608839936087</c:v>
                </c:pt>
                <c:pt idx="7">
                  <c:v>1.4676850436167821</c:v>
                </c:pt>
                <c:pt idx="8">
                  <c:v>1.5243299017533518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1A-418B-B822-B32AC790CD6A}"/>
            </c:ext>
          </c:extLst>
        </c:ser>
        <c:ser>
          <c:idx val="1"/>
          <c:order val="1"/>
          <c:tx>
            <c:strRef>
              <c:f>'100s'!$F$1</c:f>
              <c:strCache>
                <c:ptCount val="1"/>
                <c:pt idx="0">
                  <c:v>Log 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'100s'!$A$2:$A$10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numCache>
            </c:numRef>
          </c:cat>
          <c:val>
            <c:numRef>
              <c:f>'100s'!$F$2:$F$10</c:f>
              <c:numCache>
                <c:formatCode>General</c:formatCode>
                <c:ptCount val="9"/>
                <c:pt idx="0">
                  <c:v>1.1025057390762039</c:v>
                </c:pt>
                <c:pt idx="1">
                  <c:v>1.7314364534030939</c:v>
                </c:pt>
                <c:pt idx="2">
                  <c:v>2.1947759497806745</c:v>
                </c:pt>
                <c:pt idx="3">
                  <c:v>2.5371048804604892</c:v>
                </c:pt>
                <c:pt idx="4">
                  <c:v>2.932119386011637</c:v>
                </c:pt>
                <c:pt idx="5">
                  <c:v>3.1588529979184887</c:v>
                </c:pt>
                <c:pt idx="6">
                  <c:v>3.4454261060235858</c:v>
                </c:pt>
                <c:pt idx="7">
                  <c:v>3.688147252296706</c:v>
                </c:pt>
                <c:pt idx="8">
                  <c:v>3.8879458334529748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F0-44A2-A8A1-79CD55AA9AA8}"/>
            </c:ext>
          </c:extLst>
        </c:ser>
        <c:ser>
          <c:idx val="2"/>
          <c:order val="2"/>
          <c:tx>
            <c:strRef>
              <c:f>'100s'!$G$1</c:f>
              <c:strCache>
                <c:ptCount val="1"/>
                <c:pt idx="0">
                  <c:v>Log Ftst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'100s'!$A$2:$A$10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numCache>
            </c:numRef>
          </c:cat>
          <c:val>
            <c:numRef>
              <c:f>'100s'!$G$2:$G$11</c:f>
              <c:numCache>
                <c:formatCode>General</c:formatCode>
                <c:ptCount val="10"/>
                <c:pt idx="0">
                  <c:v>0.31393046253346235</c:v>
                </c:pt>
                <c:pt idx="1">
                  <c:v>0.4889171740735288</c:v>
                </c:pt>
                <c:pt idx="2">
                  <c:v>0.62385894263359321</c:v>
                </c:pt>
                <c:pt idx="3">
                  <c:v>0.68683281898900028</c:v>
                </c:pt>
                <c:pt idx="4">
                  <c:v>0.71977033230434129</c:v>
                </c:pt>
                <c:pt idx="5">
                  <c:v>0.78893866641551791</c:v>
                </c:pt>
                <c:pt idx="6">
                  <c:v>0.84293982650854349</c:v>
                </c:pt>
                <c:pt idx="7">
                  <c:v>0.88384873747566517</c:v>
                </c:pt>
                <c:pt idx="8">
                  <c:v>0.934670115130671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F0-44A2-A8A1-79CD55AA9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1794943"/>
        <c:axId val="1331795423"/>
      </c:barChart>
      <c:catAx>
        <c:axId val="133179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795423"/>
        <c:crosses val="autoZero"/>
        <c:auto val="1"/>
        <c:lblAlgn val="ctr"/>
        <c:lblOffset val="100"/>
        <c:noMultiLvlLbl val="0"/>
      </c:catAx>
      <c:valAx>
        <c:axId val="13317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7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0654672526399314"/>
          <c:y val="7.5795700112583395E-2"/>
          <c:w val="0.12239714948422145"/>
          <c:h val="0.1719757029639463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Log Time vs 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'5s 500'!$G$1</c:f>
              <c:strCache>
                <c:ptCount val="1"/>
                <c:pt idx="0">
                  <c:v>Log 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'5s 500'!$A$2:$A$20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cat>
          <c:val>
            <c:numRef>
              <c:f>'5s 500'!$G$2:$G$20</c:f>
              <c:numCache>
                <c:formatCode>General</c:formatCode>
                <c:ptCount val="19"/>
                <c:pt idx="0">
                  <c:v>-0.58854865786206245</c:v>
                </c:pt>
                <c:pt idx="1">
                  <c:v>-0.41184038361690795</c:v>
                </c:pt>
                <c:pt idx="2">
                  <c:v>-0.2438966284148944</c:v>
                </c:pt>
                <c:pt idx="3">
                  <c:v>-0.18217030025439443</c:v>
                </c:pt>
                <c:pt idx="4">
                  <c:v>3.4106829707643734E-2</c:v>
                </c:pt>
                <c:pt idx="5">
                  <c:v>6.8482713761754369E-2</c:v>
                </c:pt>
                <c:pt idx="6">
                  <c:v>0.13110516209373138</c:v>
                </c:pt>
                <c:pt idx="7">
                  <c:v>0.21351775699630487</c:v>
                </c:pt>
                <c:pt idx="8">
                  <c:v>0.24968742780530151</c:v>
                </c:pt>
                <c:pt idx="9">
                  <c:v>0.27664559363087632</c:v>
                </c:pt>
                <c:pt idx="10">
                  <c:v>0.3280124388555864</c:v>
                </c:pt>
                <c:pt idx="11">
                  <c:v>0.3802293369380374</c:v>
                </c:pt>
                <c:pt idx="12">
                  <c:v>0.34161255871200186</c:v>
                </c:pt>
                <c:pt idx="13">
                  <c:v>0.40898576821169425</c:v>
                </c:pt>
                <c:pt idx="14">
                  <c:v>0.44805671088621207</c:v>
                </c:pt>
                <c:pt idx="15">
                  <c:v>0.41308172370882884</c:v>
                </c:pt>
                <c:pt idx="16">
                  <c:v>0.44745263122699308</c:v>
                </c:pt>
                <c:pt idx="17">
                  <c:v>0.48208714182648593</c:v>
                </c:pt>
                <c:pt idx="18">
                  <c:v>0.52937901628761841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A2-473C-89D9-4A600C4BCEC5}"/>
            </c:ext>
          </c:extLst>
        </c:ser>
        <c:ser>
          <c:idx val="1"/>
          <c:order val="1"/>
          <c:tx>
            <c:strRef>
              <c:f>'5s 500'!$H$1</c:f>
              <c:strCache>
                <c:ptCount val="1"/>
                <c:pt idx="0">
                  <c:v>Log 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'5s 500'!$A$2:$A$20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cat>
          <c:val>
            <c:numRef>
              <c:f>'5s 500'!$H$2:$H$20</c:f>
              <c:numCache>
                <c:formatCode>General</c:formatCode>
                <c:ptCount val="19"/>
                <c:pt idx="0">
                  <c:v>-0.26568031914099305</c:v>
                </c:pt>
                <c:pt idx="1">
                  <c:v>0.36310406607463558</c:v>
                </c:pt>
                <c:pt idx="2">
                  <c:v>0.89795131674577622</c:v>
                </c:pt>
                <c:pt idx="3">
                  <c:v>1.2963492248187813</c:v>
                </c:pt>
                <c:pt idx="4">
                  <c:v>1.635410352888679</c:v>
                </c:pt>
                <c:pt idx="5">
                  <c:v>1.9054812401049357</c:v>
                </c:pt>
                <c:pt idx="6">
                  <c:v>2.1588402547316026</c:v>
                </c:pt>
                <c:pt idx="7">
                  <c:v>2.3972014278122304</c:v>
                </c:pt>
                <c:pt idx="8">
                  <c:v>2.5560865061967952</c:v>
                </c:pt>
                <c:pt idx="9">
                  <c:v>2.7808634738027793</c:v>
                </c:pt>
                <c:pt idx="10">
                  <c:v>2.9578717096022213</c:v>
                </c:pt>
                <c:pt idx="11">
                  <c:v>3.0642572313915459</c:v>
                </c:pt>
                <c:pt idx="12">
                  <c:v>3.3825190202340627</c:v>
                </c:pt>
                <c:pt idx="13">
                  <c:v>3.3818388011015577</c:v>
                </c:pt>
                <c:pt idx="14">
                  <c:v>3.5141481507647532</c:v>
                </c:pt>
                <c:pt idx="15">
                  <c:v>3.6022549457863358</c:v>
                </c:pt>
                <c:pt idx="16">
                  <c:v>3.7558622660472802</c:v>
                </c:pt>
                <c:pt idx="17">
                  <c:v>3.8363828841125054</c:v>
                </c:pt>
                <c:pt idx="18">
                  <c:v>3.8922811035562344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A2-473C-89D9-4A600C4BCEC5}"/>
            </c:ext>
          </c:extLst>
        </c:ser>
        <c:ser>
          <c:idx val="2"/>
          <c:order val="2"/>
          <c:tx>
            <c:strRef>
              <c:f>'5s 500'!$I$1</c:f>
              <c:strCache>
                <c:ptCount val="1"/>
                <c:pt idx="0">
                  <c:v>Log Ftst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'5s 500'!$A$2:$A$20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cat>
          <c:val>
            <c:numRef>
              <c:f>'5s 500'!$I$2:$I$20</c:f>
              <c:numCache>
                <c:formatCode>General</c:formatCode>
                <c:ptCount val="19"/>
                <c:pt idx="0">
                  <c:v>-1.0390538042661686</c:v>
                </c:pt>
                <c:pt idx="1">
                  <c:v>-0.90413354652145739</c:v>
                </c:pt>
                <c:pt idx="2">
                  <c:v>-0.77754366332075331</c:v>
                </c:pt>
                <c:pt idx="3">
                  <c:v>-0.64416550411506401</c:v>
                </c:pt>
                <c:pt idx="4">
                  <c:v>-0.44903824770182388</c:v>
                </c:pt>
                <c:pt idx="5">
                  <c:v>-0.41998788747057569</c:v>
                </c:pt>
                <c:pt idx="6">
                  <c:v>-0.39968067024833892</c:v>
                </c:pt>
                <c:pt idx="7">
                  <c:v>-0.35595550718525121</c:v>
                </c:pt>
                <c:pt idx="8">
                  <c:v>-0.26640153903866087</c:v>
                </c:pt>
                <c:pt idx="9">
                  <c:v>-0.31722335368556592</c:v>
                </c:pt>
                <c:pt idx="10">
                  <c:v>-0.21218543293697692</c:v>
                </c:pt>
                <c:pt idx="11">
                  <c:v>-0.21645371772965016</c:v>
                </c:pt>
                <c:pt idx="12">
                  <c:v>-0.19681611146465802</c:v>
                </c:pt>
                <c:pt idx="13">
                  <c:v>1.8866863150906826E-2</c:v>
                </c:pt>
                <c:pt idx="14">
                  <c:v>-7.8001568691729029E-2</c:v>
                </c:pt>
                <c:pt idx="15">
                  <c:v>-0.12355121312165876</c:v>
                </c:pt>
                <c:pt idx="16">
                  <c:v>-9.2481153893370735E-2</c:v>
                </c:pt>
                <c:pt idx="17">
                  <c:v>-8.4178212379601269E-2</c:v>
                </c:pt>
                <c:pt idx="18">
                  <c:v>-6.5905731644519627E-2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A2-473C-89D9-4A600C4BCEC5}"/>
            </c:ext>
          </c:extLst>
        </c:ser>
        <c:ser>
          <c:idx val="3"/>
          <c:order val="3"/>
          <c:tx>
            <c:strRef>
              <c:f>'5s 500'!$J$1</c:f>
              <c:strCache>
                <c:ptCount val="1"/>
                <c:pt idx="0">
                  <c:v>Log GA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'5s 500'!$J$2:$J$20</c:f>
              <c:numCache>
                <c:formatCode>General</c:formatCode>
                <c:ptCount val="19"/>
                <c:pt idx="0">
                  <c:v>-0.79377661948310396</c:v>
                </c:pt>
                <c:pt idx="1">
                  <c:v>-0.76661370790106853</c:v>
                </c:pt>
                <c:pt idx="2">
                  <c:v>-0.66861056674877373</c:v>
                </c:pt>
                <c:pt idx="3">
                  <c:v>-0.58215230249782446</c:v>
                </c:pt>
                <c:pt idx="4">
                  <c:v>-0.49799563519949192</c:v>
                </c:pt>
                <c:pt idx="5">
                  <c:v>-0.4140330767873921</c:v>
                </c:pt>
                <c:pt idx="6">
                  <c:v>-0.37394206723934081</c:v>
                </c:pt>
                <c:pt idx="7">
                  <c:v>-0.32377915989853379</c:v>
                </c:pt>
                <c:pt idx="8">
                  <c:v>-0.29307791681275264</c:v>
                </c:pt>
                <c:pt idx="9">
                  <c:v>-0.25194383246322088</c:v>
                </c:pt>
                <c:pt idx="10">
                  <c:v>-0.21196087548954762</c:v>
                </c:pt>
                <c:pt idx="11">
                  <c:v>-0.16804849135734951</c:v>
                </c:pt>
                <c:pt idx="12">
                  <c:v>-0.15033162931084057</c:v>
                </c:pt>
                <c:pt idx="13">
                  <c:v>-0.12076788696980725</c:v>
                </c:pt>
                <c:pt idx="14">
                  <c:v>-7.5895966342748949E-2</c:v>
                </c:pt>
                <c:pt idx="15">
                  <c:v>-6.9049594150897398E-2</c:v>
                </c:pt>
                <c:pt idx="16">
                  <c:v>-3.3840285499332941E-2</c:v>
                </c:pt>
                <c:pt idx="17">
                  <c:v>-2.1050763898457017E-2</c:v>
                </c:pt>
                <c:pt idx="18">
                  <c:v>9.3525522273099487E-3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5C-462D-8B8A-37780AC87CF8}"/>
            </c:ext>
          </c:extLst>
        </c:ser>
        <c:ser>
          <c:idx val="4"/>
          <c:order val="4"/>
          <c:tx>
            <c:strRef>
              <c:f>'5s 500'!$K$1</c:f>
              <c:strCache>
                <c:ptCount val="1"/>
                <c:pt idx="0">
                  <c:v>Log Lie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'5s 500'!$K$2:$K$20</c:f>
              <c:numCache>
                <c:formatCode>General</c:formatCode>
                <c:ptCount val="19"/>
                <c:pt idx="0">
                  <c:v>-0.53684997576216942</c:v>
                </c:pt>
                <c:pt idx="1">
                  <c:v>-0.44022930772154567</c:v>
                </c:pt>
                <c:pt idx="2">
                  <c:v>-0.29017319286849264</c:v>
                </c:pt>
                <c:pt idx="3">
                  <c:v>-0.22781564618396441</c:v>
                </c:pt>
                <c:pt idx="4">
                  <c:v>-0.13802894547480579</c:v>
                </c:pt>
                <c:pt idx="5">
                  <c:v>-8.4992103573121355E-2</c:v>
                </c:pt>
                <c:pt idx="6">
                  <c:v>-1.5310790237490447E-2</c:v>
                </c:pt>
                <c:pt idx="7">
                  <c:v>5.0492008579813841E-2</c:v>
                </c:pt>
                <c:pt idx="8">
                  <c:v>0.10579961790988042</c:v>
                </c:pt>
                <c:pt idx="9">
                  <c:v>0.13143525328183239</c:v>
                </c:pt>
                <c:pt idx="10">
                  <c:v>0.16515757726465702</c:v>
                </c:pt>
                <c:pt idx="11">
                  <c:v>0.22186517439757919</c:v>
                </c:pt>
                <c:pt idx="12">
                  <c:v>0.22614645589887022</c:v>
                </c:pt>
                <c:pt idx="13">
                  <c:v>0.26201389364324018</c:v>
                </c:pt>
                <c:pt idx="14">
                  <c:v>0.30206711108447992</c:v>
                </c:pt>
                <c:pt idx="15">
                  <c:v>0.31286672771901264</c:v>
                </c:pt>
                <c:pt idx="16">
                  <c:v>0.3511213318611538</c:v>
                </c:pt>
                <c:pt idx="17">
                  <c:v>0.37440077139638739</c:v>
                </c:pt>
                <c:pt idx="18">
                  <c:v>0.38298821687556106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3A-4514-9F6E-7E809DE67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2662447"/>
        <c:axId val="732663887"/>
      </c:barChart>
      <c:catAx>
        <c:axId val="732662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N, Number</a:t>
                </a:r>
                <a:r>
                  <a:rPr lang="en-US" sz="1200" b="1" baseline="0"/>
                  <a:t> of Links</a:t>
                </a:r>
                <a:endParaRPr lang="en-US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663887"/>
        <c:crosses val="autoZero"/>
        <c:auto val="1"/>
        <c:lblAlgn val="ctr"/>
        <c:lblOffset val="100"/>
        <c:noMultiLvlLbl val="0"/>
      </c:catAx>
      <c:valAx>
        <c:axId val="73266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Log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662447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3053999828968746"/>
          <c:y val="0.11762405856546715"/>
          <c:w val="6.6754456035186593E-2"/>
          <c:h val="0.25621414876331006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Log Time vs 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'10s 1000'!$G$1</c:f>
              <c:strCache>
                <c:ptCount val="1"/>
                <c:pt idx="0">
                  <c:v>Log 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'5s 500'!$A$2:$A$20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cat>
          <c:val>
            <c:numRef>
              <c:f>'10s 1000'!$G$2:$G$20</c:f>
              <c:numCache>
                <c:formatCode>General</c:formatCode>
                <c:ptCount val="19"/>
                <c:pt idx="0">
                  <c:v>-0.28050298338941837</c:v>
                </c:pt>
                <c:pt idx="1">
                  <c:v>-0.11599807523121287</c:v>
                </c:pt>
                <c:pt idx="2">
                  <c:v>1.7617573339673596E-2</c:v>
                </c:pt>
                <c:pt idx="3">
                  <c:v>0.12531857812352648</c:v>
                </c:pt>
                <c:pt idx="4">
                  <c:v>0.20319612493503247</c:v>
                </c:pt>
                <c:pt idx="5">
                  <c:v>0.27535743108759814</c:v>
                </c:pt>
                <c:pt idx="6">
                  <c:v>0.34543254749914665</c:v>
                </c:pt>
                <c:pt idx="7">
                  <c:v>0.40418349821266247</c:v>
                </c:pt>
                <c:pt idx="8">
                  <c:v>0.44966349415333057</c:v>
                </c:pt>
                <c:pt idx="9">
                  <c:v>0.49590494359435922</c:v>
                </c:pt>
                <c:pt idx="10">
                  <c:v>0.54841398855423695</c:v>
                </c:pt>
                <c:pt idx="11">
                  <c:v>0.582608730687733</c:v>
                </c:pt>
                <c:pt idx="12">
                  <c:v>0.62727366165808607</c:v>
                </c:pt>
                <c:pt idx="13">
                  <c:v>0.6592504687726608</c:v>
                </c:pt>
                <c:pt idx="14">
                  <c:v>0.68306505838291154</c:v>
                </c:pt>
                <c:pt idx="15">
                  <c:v>0.72226362737262384</c:v>
                </c:pt>
                <c:pt idx="16">
                  <c:v>0.75321524647887972</c:v>
                </c:pt>
                <c:pt idx="17">
                  <c:v>0.78015162924532189</c:v>
                </c:pt>
                <c:pt idx="18">
                  <c:v>0.80154090619031826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36-43B8-A58C-202C8493569F}"/>
            </c:ext>
          </c:extLst>
        </c:ser>
        <c:ser>
          <c:idx val="1"/>
          <c:order val="1"/>
          <c:tx>
            <c:strRef>
              <c:f>'10s 1000'!$H$1</c:f>
              <c:strCache>
                <c:ptCount val="1"/>
                <c:pt idx="0">
                  <c:v>Log 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'5s 500'!$A$2:$A$20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cat>
          <c:val>
            <c:numRef>
              <c:f>'10s 1000'!$H$2:$H$20</c:f>
              <c:numCache>
                <c:formatCode>General</c:formatCode>
                <c:ptCount val="19"/>
                <c:pt idx="0">
                  <c:v>4.9101678208557098E-2</c:v>
                </c:pt>
                <c:pt idx="1">
                  <c:v>0.67105244589460922</c:v>
                </c:pt>
                <c:pt idx="2">
                  <c:v>1.1409100977860087</c:v>
                </c:pt>
                <c:pt idx="3">
                  <c:v>1.5271966790930642</c:v>
                </c:pt>
                <c:pt idx="4">
                  <c:v>1.8585053160566041</c:v>
                </c:pt>
                <c:pt idx="5">
                  <c:v>2.1812606136527593</c:v>
                </c:pt>
                <c:pt idx="6">
                  <c:v>2.4659724668498528</c:v>
                </c:pt>
                <c:pt idx="7">
                  <c:v>2.6833771387458261</c:v>
                </c:pt>
                <c:pt idx="8">
                  <c:v>2.8452488381001197</c:v>
                </c:pt>
                <c:pt idx="9">
                  <c:v>3.10556372742424</c:v>
                </c:pt>
                <c:pt idx="10">
                  <c:v>3.2405537659200929</c:v>
                </c:pt>
                <c:pt idx="11">
                  <c:v>3.406771963700217</c:v>
                </c:pt>
                <c:pt idx="12">
                  <c:v>3.5277273291284281</c:v>
                </c:pt>
                <c:pt idx="13">
                  <c:v>3.6850515935762131</c:v>
                </c:pt>
                <c:pt idx="14">
                  <c:v>3.925712216048606</c:v>
                </c:pt>
                <c:pt idx="15">
                  <c:v>4.0496315590090868</c:v>
                </c:pt>
                <c:pt idx="16">
                  <c:v>4.1651177174029792</c:v>
                </c:pt>
                <c:pt idx="17">
                  <c:v>4.2150346747474483</c:v>
                </c:pt>
                <c:pt idx="18">
                  <c:v>4.249645026330171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36-43B8-A58C-202C8493569F}"/>
            </c:ext>
          </c:extLst>
        </c:ser>
        <c:ser>
          <c:idx val="2"/>
          <c:order val="2"/>
          <c:tx>
            <c:strRef>
              <c:f>'10s 1000'!$I$1</c:f>
              <c:strCache>
                <c:ptCount val="1"/>
                <c:pt idx="0">
                  <c:v>Log Ftst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'5s 500'!$A$2:$A$20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cat>
          <c:val>
            <c:numRef>
              <c:f>'10s 1000'!$I$2:$I$20</c:f>
              <c:numCache>
                <c:formatCode>General</c:formatCode>
                <c:ptCount val="19"/>
                <c:pt idx="0">
                  <c:v>-0.76776647888526639</c:v>
                </c:pt>
                <c:pt idx="1">
                  <c:v>-0.59209945985736478</c:v>
                </c:pt>
                <c:pt idx="2">
                  <c:v>-0.45917018588892017</c:v>
                </c:pt>
                <c:pt idx="3">
                  <c:v>-0.37986394502624249</c:v>
                </c:pt>
                <c:pt idx="4">
                  <c:v>-0.29782804914228878</c:v>
                </c:pt>
                <c:pt idx="5">
                  <c:v>-0.22966355890485077</c:v>
                </c:pt>
                <c:pt idx="6">
                  <c:v>-0.14182386201765568</c:v>
                </c:pt>
                <c:pt idx="7">
                  <c:v>-0.10623823794205658</c:v>
                </c:pt>
                <c:pt idx="8">
                  <c:v>-6.7678468010706816E-2</c:v>
                </c:pt>
                <c:pt idx="9">
                  <c:v>-1.7050711425501325E-2</c:v>
                </c:pt>
                <c:pt idx="10">
                  <c:v>1.5401673702949125E-2</c:v>
                </c:pt>
                <c:pt idx="11">
                  <c:v>6.3633545230784669E-2</c:v>
                </c:pt>
                <c:pt idx="12">
                  <c:v>9.2580300691311124E-2</c:v>
                </c:pt>
                <c:pt idx="13">
                  <c:v>0.11347539853673715</c:v>
                </c:pt>
                <c:pt idx="14">
                  <c:v>0.15048012227033458</c:v>
                </c:pt>
                <c:pt idx="15">
                  <c:v>0.17808443287921172</c:v>
                </c:pt>
                <c:pt idx="16">
                  <c:v>0.19816203904607557</c:v>
                </c:pt>
                <c:pt idx="17">
                  <c:v>0.22549020007128417</c:v>
                </c:pt>
                <c:pt idx="18">
                  <c:v>0.24487062206524232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36-43B8-A58C-202C8493569F}"/>
            </c:ext>
          </c:extLst>
        </c:ser>
        <c:ser>
          <c:idx val="3"/>
          <c:order val="3"/>
          <c:tx>
            <c:strRef>
              <c:f>'10s 1000'!$J$1</c:f>
              <c:strCache>
                <c:ptCount val="1"/>
                <c:pt idx="0">
                  <c:v>Log GA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'10s 1000'!$J$2:$J$20</c:f>
              <c:numCache>
                <c:formatCode>General</c:formatCode>
                <c:ptCount val="19"/>
                <c:pt idx="0">
                  <c:v>-0.60777628143370055</c:v>
                </c:pt>
                <c:pt idx="1">
                  <c:v>-0.46120490272665071</c:v>
                </c:pt>
                <c:pt idx="2">
                  <c:v>-0.34249640435118378</c:v>
                </c:pt>
                <c:pt idx="3">
                  <c:v>-0.24652464731471119</c:v>
                </c:pt>
                <c:pt idx="4">
                  <c:v>-0.17794397516037561</c:v>
                </c:pt>
                <c:pt idx="5">
                  <c:v>-0.11218354360775146</c:v>
                </c:pt>
                <c:pt idx="6">
                  <c:v>-2.9340349100993781E-2</c:v>
                </c:pt>
                <c:pt idx="7">
                  <c:v>1.5023046653805916E-2</c:v>
                </c:pt>
                <c:pt idx="8">
                  <c:v>3.4485272310157057E-2</c:v>
                </c:pt>
                <c:pt idx="9">
                  <c:v>9.8097971509004067E-2</c:v>
                </c:pt>
                <c:pt idx="10">
                  <c:v>0.11926526151951455</c:v>
                </c:pt>
                <c:pt idx="11">
                  <c:v>0.15488565628228998</c:v>
                </c:pt>
                <c:pt idx="12">
                  <c:v>0.17623707066048502</c:v>
                </c:pt>
                <c:pt idx="13">
                  <c:v>0.22556042774196874</c:v>
                </c:pt>
                <c:pt idx="14">
                  <c:v>0.23942952274241205</c:v>
                </c:pt>
                <c:pt idx="15">
                  <c:v>0.26269545993699944</c:v>
                </c:pt>
                <c:pt idx="16">
                  <c:v>0.28833198409448535</c:v>
                </c:pt>
                <c:pt idx="17">
                  <c:v>0.31131218149471546</c:v>
                </c:pt>
                <c:pt idx="18">
                  <c:v>0.34310548640818223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6F-4FDB-B535-983664B76F3C}"/>
            </c:ext>
          </c:extLst>
        </c:ser>
        <c:ser>
          <c:idx val="4"/>
          <c:order val="4"/>
          <c:tx>
            <c:strRef>
              <c:f>'10s 1000'!$K$1</c:f>
              <c:strCache>
                <c:ptCount val="1"/>
                <c:pt idx="0">
                  <c:v>Log Lie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'10s 1000'!$K$2:$K$20</c:f>
              <c:numCache>
                <c:formatCode>General</c:formatCode>
                <c:ptCount val="19"/>
                <c:pt idx="0">
                  <c:v>-0.30123546559882719</c:v>
                </c:pt>
                <c:pt idx="1">
                  <c:v>-0.135912384320267</c:v>
                </c:pt>
                <c:pt idx="2">
                  <c:v>-2.3311980538496129E-2</c:v>
                </c:pt>
                <c:pt idx="3">
                  <c:v>7.6747020341326341E-2</c:v>
                </c:pt>
                <c:pt idx="4">
                  <c:v>0.1608573012714766</c:v>
                </c:pt>
                <c:pt idx="5">
                  <c:v>0.21826694211095099</c:v>
                </c:pt>
                <c:pt idx="6">
                  <c:v>0.27967921549377178</c:v>
                </c:pt>
                <c:pt idx="7">
                  <c:v>0.32336182565248733</c:v>
                </c:pt>
                <c:pt idx="8">
                  <c:v>0.36659034780390626</c:v>
                </c:pt>
                <c:pt idx="9">
                  <c:v>0.41891351315932263</c:v>
                </c:pt>
                <c:pt idx="10">
                  <c:v>0.44746856495927739</c:v>
                </c:pt>
                <c:pt idx="11">
                  <c:v>0.48500906800264604</c:v>
                </c:pt>
                <c:pt idx="12">
                  <c:v>0.51762528069864178</c:v>
                </c:pt>
                <c:pt idx="13">
                  <c:v>0.55606666305331165</c:v>
                </c:pt>
                <c:pt idx="14">
                  <c:v>0.60501059600619167</c:v>
                </c:pt>
                <c:pt idx="15">
                  <c:v>0.60207851360727371</c:v>
                </c:pt>
                <c:pt idx="16">
                  <c:v>0.63033024440916907</c:v>
                </c:pt>
                <c:pt idx="17">
                  <c:v>0.68628314978023908</c:v>
                </c:pt>
                <c:pt idx="18">
                  <c:v>0.68530565820887357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6F-4FDB-B535-983664B76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2662447"/>
        <c:axId val="732663887"/>
      </c:barChart>
      <c:catAx>
        <c:axId val="732662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N, Number</a:t>
                </a:r>
                <a:r>
                  <a:rPr lang="en-US" sz="1200" b="1" baseline="0"/>
                  <a:t> of Links</a:t>
                </a:r>
                <a:endParaRPr lang="en-US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663887"/>
        <c:crosses val="autoZero"/>
        <c:auto val="1"/>
        <c:lblAlgn val="ctr"/>
        <c:lblOffset val="100"/>
        <c:noMultiLvlLbl val="0"/>
      </c:catAx>
      <c:valAx>
        <c:axId val="73266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Log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662447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3053999828968746"/>
          <c:y val="0.11762405856546715"/>
          <c:w val="6.6754456035186593E-2"/>
          <c:h val="0.25621414876331006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Time vs 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'10s 1000'!$B$1</c:f>
              <c:strCache>
                <c:ptCount val="1"/>
                <c:pt idx="0">
                  <c:v>NE time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'5s 500'!$A$2:$A$20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cat>
          <c:val>
            <c:numRef>
              <c:f>'10s 1000'!$B$2:$B$20</c:f>
              <c:numCache>
                <c:formatCode>General</c:formatCode>
                <c:ptCount val="19"/>
                <c:pt idx="0">
                  <c:v>0.5242</c:v>
                </c:pt>
                <c:pt idx="1">
                  <c:v>0.76559999999999995</c:v>
                </c:pt>
                <c:pt idx="2">
                  <c:v>1.0414000000000001</c:v>
                </c:pt>
                <c:pt idx="3">
                  <c:v>1.3345</c:v>
                </c:pt>
                <c:pt idx="4">
                  <c:v>1.5966</c:v>
                </c:pt>
                <c:pt idx="5">
                  <c:v>1.8852</c:v>
                </c:pt>
                <c:pt idx="6">
                  <c:v>2.2153</c:v>
                </c:pt>
                <c:pt idx="7">
                  <c:v>2.5362</c:v>
                </c:pt>
                <c:pt idx="8">
                  <c:v>2.8161999999999998</c:v>
                </c:pt>
                <c:pt idx="9">
                  <c:v>3.1326000000000001</c:v>
                </c:pt>
                <c:pt idx="10">
                  <c:v>3.5352000000000001</c:v>
                </c:pt>
                <c:pt idx="11">
                  <c:v>3.8248000000000002</c:v>
                </c:pt>
                <c:pt idx="12">
                  <c:v>4.2390999999999996</c:v>
                </c:pt>
                <c:pt idx="13">
                  <c:v>4.5629999999999997</c:v>
                </c:pt>
                <c:pt idx="14">
                  <c:v>4.8201999999999998</c:v>
                </c:pt>
                <c:pt idx="15">
                  <c:v>5.2755000000000001</c:v>
                </c:pt>
                <c:pt idx="16">
                  <c:v>5.6651999999999996</c:v>
                </c:pt>
                <c:pt idx="17">
                  <c:v>6.0277000000000003</c:v>
                </c:pt>
                <c:pt idx="18">
                  <c:v>6.3319999999999999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23-4F17-B2B3-FFF3D9CF7F8F}"/>
            </c:ext>
          </c:extLst>
        </c:ser>
        <c:ser>
          <c:idx val="1"/>
          <c:order val="1"/>
          <c:tx>
            <c:strRef>
              <c:f>'10s 1000'!$C$1</c:f>
              <c:strCache>
                <c:ptCount val="1"/>
                <c:pt idx="0">
                  <c:v>LE time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'5s 500'!$A$2:$A$20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cat>
          <c:val>
            <c:numRef>
              <c:f>'10s 1000'!$C$2:$C$20</c:f>
              <c:numCache>
                <c:formatCode>General</c:formatCode>
                <c:ptCount val="19"/>
                <c:pt idx="0">
                  <c:v>1.1196999999999999</c:v>
                </c:pt>
                <c:pt idx="1">
                  <c:v>4.6886999999999999</c:v>
                </c:pt>
                <c:pt idx="2">
                  <c:v>13.832800000000001</c:v>
                </c:pt>
                <c:pt idx="3">
                  <c:v>33.666400000000003</c:v>
                </c:pt>
                <c:pt idx="4">
                  <c:v>72.194699999999997</c:v>
                </c:pt>
                <c:pt idx="5">
                  <c:v>151.7961</c:v>
                </c:pt>
                <c:pt idx="6">
                  <c:v>292.39670000000001</c:v>
                </c:pt>
                <c:pt idx="7">
                  <c:v>482.36649999999997</c:v>
                </c:pt>
                <c:pt idx="8">
                  <c:v>700.24310000000003</c:v>
                </c:pt>
                <c:pt idx="9">
                  <c:v>1275.1572000000001</c:v>
                </c:pt>
                <c:pt idx="10">
                  <c:v>1740.0181</c:v>
                </c:pt>
                <c:pt idx="11">
                  <c:v>2551.3613</c:v>
                </c:pt>
                <c:pt idx="12">
                  <c:v>3370.7561000000001</c:v>
                </c:pt>
                <c:pt idx="13">
                  <c:v>4842.2988999999998</c:v>
                </c:pt>
                <c:pt idx="14">
                  <c:v>8427.7610959999693</c:v>
                </c:pt>
                <c:pt idx="15">
                  <c:v>11210.669748299901</c:v>
                </c:pt>
                <c:pt idx="16">
                  <c:v>14625.7355764</c:v>
                </c:pt>
                <c:pt idx="17">
                  <c:v>16407.207656699899</c:v>
                </c:pt>
                <c:pt idx="18">
                  <c:v>17768.265146199901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23-4F17-B2B3-FFF3D9CF7F8F}"/>
            </c:ext>
          </c:extLst>
        </c:ser>
        <c:ser>
          <c:idx val="2"/>
          <c:order val="2"/>
          <c:tx>
            <c:strRef>
              <c:f>'10s 1000'!$D$1</c:f>
              <c:strCache>
                <c:ptCount val="1"/>
                <c:pt idx="0">
                  <c:v>Ftst time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'5s 500'!$A$2:$A$20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cat>
          <c:val>
            <c:numRef>
              <c:f>'10s 1000'!$D$2:$D$20</c:f>
              <c:numCache>
                <c:formatCode>General</c:formatCode>
                <c:ptCount val="19"/>
                <c:pt idx="0">
                  <c:v>0.17069999999999999</c:v>
                </c:pt>
                <c:pt idx="1">
                  <c:v>0.25580000000000003</c:v>
                </c:pt>
                <c:pt idx="2">
                  <c:v>0.34739999999999999</c:v>
                </c:pt>
                <c:pt idx="3">
                  <c:v>0.41699999999999998</c:v>
                </c:pt>
                <c:pt idx="4">
                  <c:v>0.50370000000000004</c:v>
                </c:pt>
                <c:pt idx="5">
                  <c:v>0.58930000000000005</c:v>
                </c:pt>
                <c:pt idx="6">
                  <c:v>0.72140000000000004</c:v>
                </c:pt>
                <c:pt idx="7">
                  <c:v>0.78300000000000003</c:v>
                </c:pt>
                <c:pt idx="8">
                  <c:v>0.85570000000000002</c:v>
                </c:pt>
                <c:pt idx="9">
                  <c:v>0.96150000000000002</c:v>
                </c:pt>
                <c:pt idx="10">
                  <c:v>1.0361</c:v>
                </c:pt>
                <c:pt idx="11">
                  <c:v>1.1577999999999999</c:v>
                </c:pt>
                <c:pt idx="12">
                  <c:v>1.2376</c:v>
                </c:pt>
                <c:pt idx="13">
                  <c:v>1.2986</c:v>
                </c:pt>
                <c:pt idx="14">
                  <c:v>1.4140999999999999</c:v>
                </c:pt>
                <c:pt idx="15">
                  <c:v>1.5068999999999999</c:v>
                </c:pt>
                <c:pt idx="16">
                  <c:v>1.5782</c:v>
                </c:pt>
                <c:pt idx="17">
                  <c:v>1.6807000000000001</c:v>
                </c:pt>
                <c:pt idx="18">
                  <c:v>1.7574000000000001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23-4F17-B2B3-FFF3D9CF7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2662447"/>
        <c:axId val="732663887"/>
      </c:lineChart>
      <c:catAx>
        <c:axId val="732662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N, Number</a:t>
                </a:r>
                <a:r>
                  <a:rPr lang="en-US" sz="1200" b="1" baseline="0"/>
                  <a:t> of Links</a:t>
                </a:r>
                <a:endParaRPr lang="en-US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663887"/>
        <c:crosses val="autoZero"/>
        <c:auto val="1"/>
        <c:lblAlgn val="ctr"/>
        <c:lblOffset val="100"/>
        <c:noMultiLvlLbl val="0"/>
      </c:catAx>
      <c:valAx>
        <c:axId val="73266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Time, 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662447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3053999828968746"/>
          <c:y val="0.11762405856546715"/>
          <c:w val="8.5575236558302514E-2"/>
          <c:h val="0.15372848925798605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Log Time vs 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'10s 1000'!$G$1</c:f>
              <c:strCache>
                <c:ptCount val="1"/>
                <c:pt idx="0">
                  <c:v>Log 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'5s 500'!$A$2:$A$20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cat>
          <c:val>
            <c:numRef>
              <c:f>'20s 2000'!$G$2:$G$20</c:f>
              <c:numCache>
                <c:formatCode>General</c:formatCode>
                <c:ptCount val="19"/>
                <c:pt idx="0">
                  <c:v>0.17912072960929923</c:v>
                </c:pt>
                <c:pt idx="1">
                  <c:v>0.26688993247105292</c:v>
                </c:pt>
                <c:pt idx="2">
                  <c:v>0.40859607646278268</c:v>
                </c:pt>
                <c:pt idx="3">
                  <c:v>0.53064785352748556</c:v>
                </c:pt>
                <c:pt idx="4">
                  <c:v>0.77826704680664749</c:v>
                </c:pt>
                <c:pt idx="5">
                  <c:v>0.84486221613752133</c:v>
                </c:pt>
                <c:pt idx="6">
                  <c:v>0.91882162594644479</c:v>
                </c:pt>
                <c:pt idx="7">
                  <c:v>0.96270546410180979</c:v>
                </c:pt>
                <c:pt idx="8">
                  <c:v>1.0239640369866647</c:v>
                </c:pt>
                <c:pt idx="9">
                  <c:v>1.0678330862343137</c:v>
                </c:pt>
                <c:pt idx="10">
                  <c:v>1.1250190736565042</c:v>
                </c:pt>
                <c:pt idx="11">
                  <c:v>1.2045784641095207</c:v>
                </c:pt>
                <c:pt idx="12">
                  <c:v>1.2068987019193613</c:v>
                </c:pt>
                <c:pt idx="13">
                  <c:v>1.2361844428801496</c:v>
                </c:pt>
                <c:pt idx="14">
                  <c:v>1.259271263185658</c:v>
                </c:pt>
                <c:pt idx="15">
                  <c:v>1.3012145316076791</c:v>
                </c:pt>
                <c:pt idx="16">
                  <c:v>1.3255505532952461</c:v>
                </c:pt>
                <c:pt idx="17">
                  <c:v>1.3520956505279338</c:v>
                </c:pt>
                <c:pt idx="18">
                  <c:v>1.3096110069525659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DD-4CF3-8994-6CA467525292}"/>
            </c:ext>
          </c:extLst>
        </c:ser>
        <c:ser>
          <c:idx val="1"/>
          <c:order val="1"/>
          <c:tx>
            <c:strRef>
              <c:f>'10s 1000'!$H$1</c:f>
              <c:strCache>
                <c:ptCount val="1"/>
                <c:pt idx="0">
                  <c:v>Log 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'5s 500'!$A$2:$A$20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cat>
          <c:val>
            <c:numRef>
              <c:f>'20s 2000'!$H$2:$H$20</c:f>
              <c:numCache>
                <c:formatCode>General</c:formatCode>
                <c:ptCount val="19"/>
                <c:pt idx="0">
                  <c:v>0.36068075590673898</c:v>
                </c:pt>
                <c:pt idx="1">
                  <c:v>0.98361730349472876</c:v>
                </c:pt>
                <c:pt idx="2">
                  <c:v>1.4609198138946675</c:v>
                </c:pt>
                <c:pt idx="3">
                  <c:v>1.8612580333896194</c:v>
                </c:pt>
                <c:pt idx="4">
                  <c:v>2.1768526827455936</c:v>
                </c:pt>
                <c:pt idx="5">
                  <c:v>2.464359288292099</c:v>
                </c:pt>
                <c:pt idx="6">
                  <c:v>2.7060008232242336</c:v>
                </c:pt>
                <c:pt idx="7">
                  <c:v>2.9274268362844258</c:v>
                </c:pt>
                <c:pt idx="8">
                  <c:v>3.1256414735043663</c:v>
                </c:pt>
                <c:pt idx="9">
                  <c:v>3.3018647321002264</c:v>
                </c:pt>
                <c:pt idx="10">
                  <c:v>3.4711752869273647</c:v>
                </c:pt>
                <c:pt idx="11">
                  <c:v>3.6268820043517778</c:v>
                </c:pt>
                <c:pt idx="12">
                  <c:v>3.7693818979616709</c:v>
                </c:pt>
                <c:pt idx="13">
                  <c:v>3.9046200224387309</c:v>
                </c:pt>
                <c:pt idx="14">
                  <c:v>4.0334210290741446</c:v>
                </c:pt>
                <c:pt idx="15">
                  <c:v>4.1832130896040161</c:v>
                </c:pt>
                <c:pt idx="16">
                  <c:v>4.2754123710177439</c:v>
                </c:pt>
                <c:pt idx="17">
                  <c:v>4.4002371006387984</c:v>
                </c:pt>
                <c:pt idx="18">
                  <c:v>4.5676086152707969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DD-4CF3-8994-6CA467525292}"/>
            </c:ext>
          </c:extLst>
        </c:ser>
        <c:ser>
          <c:idx val="2"/>
          <c:order val="2"/>
          <c:tx>
            <c:strRef>
              <c:f>'10s 1000'!$I$1</c:f>
              <c:strCache>
                <c:ptCount val="1"/>
                <c:pt idx="0">
                  <c:v>Log Ftst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'5s 500'!$A$2:$A$20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cat>
          <c:val>
            <c:numRef>
              <c:f>'20s 2000'!$I$2:$I$20</c:f>
              <c:numCache>
                <c:formatCode>General</c:formatCode>
                <c:ptCount val="19"/>
                <c:pt idx="0">
                  <c:v>-0.38806437495987745</c:v>
                </c:pt>
                <c:pt idx="1">
                  <c:v>-0.2277516600281464</c:v>
                </c:pt>
                <c:pt idx="2">
                  <c:v>-8.6981316252039753E-2</c:v>
                </c:pt>
                <c:pt idx="3">
                  <c:v>-9.7499670721832143E-3</c:v>
                </c:pt>
                <c:pt idx="4">
                  <c:v>0.30272044989613406</c:v>
                </c:pt>
                <c:pt idx="5">
                  <c:v>0.31756193662124627</c:v>
                </c:pt>
                <c:pt idx="6">
                  <c:v>0.39455673936365637</c:v>
                </c:pt>
                <c:pt idx="7">
                  <c:v>0.44543294229516656</c:v>
                </c:pt>
                <c:pt idx="8">
                  <c:v>0.51324424308392258</c:v>
                </c:pt>
                <c:pt idx="9">
                  <c:v>0.56206673449545508</c:v>
                </c:pt>
                <c:pt idx="10">
                  <c:v>0.59713550679772964</c:v>
                </c:pt>
                <c:pt idx="11">
                  <c:v>0.62979682525550629</c:v>
                </c:pt>
                <c:pt idx="12">
                  <c:v>0.67520073089069388</c:v>
                </c:pt>
                <c:pt idx="13">
                  <c:v>0.70417626476122619</c:v>
                </c:pt>
                <c:pt idx="14">
                  <c:v>0.72892975334370924</c:v>
                </c:pt>
                <c:pt idx="15">
                  <c:v>0.74462933325109992</c:v>
                </c:pt>
                <c:pt idx="16">
                  <c:v>0.774786947269548</c:v>
                </c:pt>
                <c:pt idx="17">
                  <c:v>0.79123436512436673</c:v>
                </c:pt>
                <c:pt idx="18">
                  <c:v>0.82463991130814507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DD-4CF3-8994-6CA467525292}"/>
            </c:ext>
          </c:extLst>
        </c:ser>
        <c:ser>
          <c:idx val="3"/>
          <c:order val="3"/>
          <c:tx>
            <c:strRef>
              <c:f>'20s 2000'!$J$1</c:f>
              <c:strCache>
                <c:ptCount val="1"/>
                <c:pt idx="0">
                  <c:v>Log GA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'20s 2000'!$J$2:$J$20</c:f>
              <c:numCache>
                <c:formatCode>General</c:formatCode>
                <c:ptCount val="19"/>
                <c:pt idx="0">
                  <c:v>-0.32841833508725149</c:v>
                </c:pt>
                <c:pt idx="1">
                  <c:v>-0.18216957354576901</c:v>
                </c:pt>
                <c:pt idx="2">
                  <c:v>-6.605557688868062E-2</c:v>
                </c:pt>
                <c:pt idx="3">
                  <c:v>3.684997800495099E-2</c:v>
                </c:pt>
                <c:pt idx="4">
                  <c:v>0.12159004346383795</c:v>
                </c:pt>
                <c:pt idx="5">
                  <c:v>0.16825434025221242</c:v>
                </c:pt>
                <c:pt idx="6">
                  <c:v>0.22341735584863226</c:v>
                </c:pt>
                <c:pt idx="7">
                  <c:v>0.28038790367280952</c:v>
                </c:pt>
                <c:pt idx="8">
                  <c:v>0.31210467166042133</c:v>
                </c:pt>
                <c:pt idx="9">
                  <c:v>0.35643241134701598</c:v>
                </c:pt>
                <c:pt idx="10">
                  <c:v>0.38974899477887986</c:v>
                </c:pt>
                <c:pt idx="11">
                  <c:v>0.43222215886970855</c:v>
                </c:pt>
                <c:pt idx="12">
                  <c:v>0.45733947690897603</c:v>
                </c:pt>
                <c:pt idx="13">
                  <c:v>0.49420751347150244</c:v>
                </c:pt>
                <c:pt idx="14">
                  <c:v>0.51683031634136212</c:v>
                </c:pt>
                <c:pt idx="15">
                  <c:v>0.53805477121122725</c:v>
                </c:pt>
                <c:pt idx="16">
                  <c:v>0.56571277693676114</c:v>
                </c:pt>
                <c:pt idx="17">
                  <c:v>0.59174450264821588</c:v>
                </c:pt>
                <c:pt idx="18">
                  <c:v>0.60742728110436339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87-406C-A2D9-29895E6E4A8F}"/>
            </c:ext>
          </c:extLst>
        </c:ser>
        <c:ser>
          <c:idx val="4"/>
          <c:order val="4"/>
          <c:tx>
            <c:strRef>
              <c:f>'20s 2000'!$K$1</c:f>
              <c:strCache>
                <c:ptCount val="1"/>
                <c:pt idx="0">
                  <c:v>Log Lie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'20s 2000'!$K$2:$K$20</c:f>
              <c:numCache>
                <c:formatCode>General</c:formatCode>
                <c:ptCount val="19"/>
                <c:pt idx="0">
                  <c:v>-2.6024306353061998E-3</c:v>
                </c:pt>
                <c:pt idx="1">
                  <c:v>0.17159608727788439</c:v>
                </c:pt>
                <c:pt idx="2">
                  <c:v>0.34175857138459592</c:v>
                </c:pt>
                <c:pt idx="3">
                  <c:v>0.40278349464472762</c:v>
                </c:pt>
                <c:pt idx="4">
                  <c:v>0.4753542992560702</c:v>
                </c:pt>
                <c:pt idx="5">
                  <c:v>0.53347248504732925</c:v>
                </c:pt>
                <c:pt idx="6">
                  <c:v>0.63297113601708699</c:v>
                </c:pt>
                <c:pt idx="7">
                  <c:v>0.65375545731044626</c:v>
                </c:pt>
                <c:pt idx="8">
                  <c:v>0.70502884262178012</c:v>
                </c:pt>
                <c:pt idx="9">
                  <c:v>0.73904630816228445</c:v>
                </c:pt>
                <c:pt idx="10">
                  <c:v>0.76877323681077103</c:v>
                </c:pt>
                <c:pt idx="11">
                  <c:v>0.79961809901103553</c:v>
                </c:pt>
                <c:pt idx="12">
                  <c:v>0.82639996751505795</c:v>
                </c:pt>
                <c:pt idx="13">
                  <c:v>0.85345958230618457</c:v>
                </c:pt>
                <c:pt idx="14">
                  <c:v>0.88589953584870018</c:v>
                </c:pt>
                <c:pt idx="15">
                  <c:v>0.90947412599277955</c:v>
                </c:pt>
                <c:pt idx="16">
                  <c:v>0.93581709644729338</c:v>
                </c:pt>
                <c:pt idx="17">
                  <c:v>0.95929807994675997</c:v>
                </c:pt>
                <c:pt idx="18">
                  <c:v>1.0037336165928343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87-406C-A2D9-29895E6E4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2662447"/>
        <c:axId val="732663887"/>
      </c:barChart>
      <c:catAx>
        <c:axId val="732662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N, Number</a:t>
                </a:r>
                <a:r>
                  <a:rPr lang="en-US" sz="1200" b="1" baseline="0"/>
                  <a:t> of Links</a:t>
                </a:r>
                <a:endParaRPr lang="en-US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663887"/>
        <c:crosses val="autoZero"/>
        <c:auto val="1"/>
        <c:lblAlgn val="ctr"/>
        <c:lblOffset val="100"/>
        <c:noMultiLvlLbl val="0"/>
      </c:catAx>
      <c:valAx>
        <c:axId val="73266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Log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662447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3053999828968746"/>
          <c:y val="0.11762405856546715"/>
          <c:w val="6.6754456035186593E-2"/>
          <c:h val="0.25621414876331006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Log Time vs 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'10s 1000'!$G$1</c:f>
              <c:strCache>
                <c:ptCount val="1"/>
                <c:pt idx="0">
                  <c:v>Log 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'5s 500'!$A$2:$A$20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cat>
          <c:val>
            <c:numRef>
              <c:f>'30s 3000'!$E$2:$E$20</c:f>
              <c:numCache>
                <c:formatCode>General</c:formatCode>
                <c:ptCount val="19"/>
                <c:pt idx="0">
                  <c:v>0.25095643933189343</c:v>
                </c:pt>
                <c:pt idx="1">
                  <c:v>0.42535485766551501</c:v>
                </c:pt>
                <c:pt idx="2">
                  <c:v>0.69589301068015452</c:v>
                </c:pt>
                <c:pt idx="3">
                  <c:v>0.83372705928606883</c:v>
                </c:pt>
                <c:pt idx="4">
                  <c:v>0.94060114418270613</c:v>
                </c:pt>
                <c:pt idx="5">
                  <c:v>1.0398581020361306</c:v>
                </c:pt>
                <c:pt idx="6">
                  <c:v>1.0876359189806979</c:v>
                </c:pt>
                <c:pt idx="7">
                  <c:v>1.1570576504069054</c:v>
                </c:pt>
                <c:pt idx="8">
                  <c:v>1.2016237723514125</c:v>
                </c:pt>
                <c:pt idx="9">
                  <c:v>1.2526200507882073</c:v>
                </c:pt>
                <c:pt idx="10">
                  <c:v>1.3202854873899716</c:v>
                </c:pt>
                <c:pt idx="11">
                  <c:v>1.2983355430826178</c:v>
                </c:pt>
                <c:pt idx="12">
                  <c:v>1.1858395150042349</c:v>
                </c:pt>
                <c:pt idx="13">
                  <c:v>1.1887457324264934</c:v>
                </c:pt>
                <c:pt idx="14">
                  <c:v>1.2170863169884278</c:v>
                </c:pt>
                <c:pt idx="15">
                  <c:v>1.248916892312752</c:v>
                </c:pt>
                <c:pt idx="16">
                  <c:v>1.2787513151863827</c:v>
                </c:pt>
                <c:pt idx="17">
                  <c:v>1.3023330936564801</c:v>
                </c:pt>
                <c:pt idx="18">
                  <c:v>1.3336608424638372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02-408F-895C-4C842BA6D16F}"/>
            </c:ext>
          </c:extLst>
        </c:ser>
        <c:ser>
          <c:idx val="1"/>
          <c:order val="1"/>
          <c:tx>
            <c:strRef>
              <c:f>'10s 1000'!$H$1</c:f>
              <c:strCache>
                <c:ptCount val="1"/>
                <c:pt idx="0">
                  <c:v>Log 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'5s 500'!$A$2:$A$20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cat>
          <c:val>
            <c:numRef>
              <c:f>'30s 3000'!$F$2:$F$20</c:f>
              <c:numCache>
                <c:formatCode>General</c:formatCode>
                <c:ptCount val="19"/>
                <c:pt idx="0">
                  <c:v>0.51433350099549968</c:v>
                </c:pt>
                <c:pt idx="1">
                  <c:v>1.1482121787450121</c:v>
                </c:pt>
                <c:pt idx="2">
                  <c:v>1.6272577529787677</c:v>
                </c:pt>
                <c:pt idx="3">
                  <c:v>2.0114154337011714</c:v>
                </c:pt>
                <c:pt idx="4">
                  <c:v>2.3318139782597158</c:v>
                </c:pt>
                <c:pt idx="5">
                  <c:v>2.6202452317349185</c:v>
                </c:pt>
                <c:pt idx="6">
                  <c:v>2.958009235804588</c:v>
                </c:pt>
                <c:pt idx="7">
                  <c:v>3.167329253811439</c:v>
                </c:pt>
                <c:pt idx="8">
                  <c:v>3.3719726736643723</c:v>
                </c:pt>
                <c:pt idx="9">
                  <c:v>3.5117680538642713</c:v>
                </c:pt>
                <c:pt idx="10">
                  <c:v>3.6886444867050172</c:v>
                </c:pt>
                <c:pt idx="11">
                  <c:v>3.9057017652787542</c:v>
                </c:pt>
                <c:pt idx="12">
                  <c:v>3.9677113046188439</c:v>
                </c:pt>
                <c:pt idx="13">
                  <c:v>4.0880132115585583</c:v>
                </c:pt>
                <c:pt idx="14">
                  <c:v>4.2159898031088741</c:v>
                </c:pt>
                <c:pt idx="15">
                  <c:v>4.342868780383359</c:v>
                </c:pt>
                <c:pt idx="16">
                  <c:v>4.4681859662259837</c:v>
                </c:pt>
                <c:pt idx="17">
                  <c:v>4.6438190644616952</c:v>
                </c:pt>
                <c:pt idx="18">
                  <c:v>4.7412217912465104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02-408F-895C-4C842BA6D16F}"/>
            </c:ext>
          </c:extLst>
        </c:ser>
        <c:ser>
          <c:idx val="2"/>
          <c:order val="2"/>
          <c:tx>
            <c:strRef>
              <c:f>'10s 1000'!$I$1</c:f>
              <c:strCache>
                <c:ptCount val="1"/>
                <c:pt idx="0">
                  <c:v>Log Ftst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'5s 500'!$A$2:$A$20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cat>
          <c:val>
            <c:numRef>
              <c:f>'30s 3000'!$G$2:$G$20</c:f>
              <c:numCache>
                <c:formatCode>General</c:formatCode>
                <c:ptCount val="19"/>
                <c:pt idx="0">
                  <c:v>-0.25602013475815716</c:v>
                </c:pt>
                <c:pt idx="1">
                  <c:v>-5.5024091587952087E-2</c:v>
                </c:pt>
                <c:pt idx="2">
                  <c:v>7.1513805095089159E-2</c:v>
                </c:pt>
                <c:pt idx="3">
                  <c:v>0.33713966272456086</c:v>
                </c:pt>
                <c:pt idx="4">
                  <c:v>0.43068766897666905</c:v>
                </c:pt>
                <c:pt idx="5">
                  <c:v>0.50502781581696332</c:v>
                </c:pt>
                <c:pt idx="6">
                  <c:v>0.60313354219880733</c:v>
                </c:pt>
                <c:pt idx="7">
                  <c:v>0.64391633436409879</c:v>
                </c:pt>
                <c:pt idx="8">
                  <c:v>0.67862762177290059</c:v>
                </c:pt>
                <c:pt idx="9">
                  <c:v>0.73001472091972386</c:v>
                </c:pt>
                <c:pt idx="10">
                  <c:v>0.774108025508218</c:v>
                </c:pt>
                <c:pt idx="11">
                  <c:v>0.6297153326471322</c:v>
                </c:pt>
                <c:pt idx="12">
                  <c:v>0.83626713455867729</c:v>
                </c:pt>
                <c:pt idx="13">
                  <c:v>0.66116880924155608</c:v>
                </c:pt>
                <c:pt idx="14">
                  <c:v>0.67699522524215427</c:v>
                </c:pt>
                <c:pt idx="15">
                  <c:v>0.70485374456628858</c:v>
                </c:pt>
                <c:pt idx="16">
                  <c:v>0.73194314666858362</c:v>
                </c:pt>
                <c:pt idx="17">
                  <c:v>0.74462933325109992</c:v>
                </c:pt>
                <c:pt idx="18">
                  <c:v>0.77613434316584407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02-408F-895C-4C842BA6D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2662447"/>
        <c:axId val="732663887"/>
      </c:barChart>
      <c:catAx>
        <c:axId val="732662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N, Number</a:t>
                </a:r>
                <a:r>
                  <a:rPr lang="en-US" sz="1200" b="1" baseline="0"/>
                  <a:t> of Links</a:t>
                </a:r>
                <a:endParaRPr lang="en-US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663887"/>
        <c:crosses val="autoZero"/>
        <c:auto val="1"/>
        <c:lblAlgn val="ctr"/>
        <c:lblOffset val="100"/>
        <c:noMultiLvlLbl val="0"/>
      </c:catAx>
      <c:valAx>
        <c:axId val="73266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Log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662447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3053999828968746"/>
          <c:y val="0.11762405856546715"/>
          <c:w val="0.10201027786493486"/>
          <c:h val="0.1965019209542527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Log Time vs 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'10s 1000'!$G$1</c:f>
              <c:strCache>
                <c:ptCount val="1"/>
                <c:pt idx="0">
                  <c:v>Log 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'5s 500'!$A$2:$A$20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cat>
          <c:val>
            <c:numRef>
              <c:f>'40s 4000'!$E$2:$E$20</c:f>
              <c:numCache>
                <c:formatCode>General</c:formatCode>
                <c:ptCount val="19"/>
                <c:pt idx="0">
                  <c:v>0.37383114507383042</c:v>
                </c:pt>
                <c:pt idx="1">
                  <c:v>0.57769855750925869</c:v>
                </c:pt>
                <c:pt idx="2">
                  <c:v>0.6902492556890788</c:v>
                </c:pt>
                <c:pt idx="3">
                  <c:v>0.79971264242099849</c:v>
                </c:pt>
                <c:pt idx="4">
                  <c:v>0.87879745052912372</c:v>
                </c:pt>
                <c:pt idx="5">
                  <c:v>0.95206559018505033</c:v>
                </c:pt>
                <c:pt idx="6">
                  <c:v>1.0161304050797639</c:v>
                </c:pt>
                <c:pt idx="7">
                  <c:v>1.0698123445446543</c:v>
                </c:pt>
                <c:pt idx="8">
                  <c:v>1.1334558735465661</c:v>
                </c:pt>
                <c:pt idx="9">
                  <c:v>1.4184222801796331</c:v>
                </c:pt>
                <c:pt idx="10">
                  <c:v>1.3391691078314798</c:v>
                </c:pt>
                <c:pt idx="11">
                  <c:v>1.2542410381636646</c:v>
                </c:pt>
                <c:pt idx="12">
                  <c:v>1.2870018022964353</c:v>
                </c:pt>
                <c:pt idx="13">
                  <c:v>1.3231571845930392</c:v>
                </c:pt>
                <c:pt idx="14">
                  <c:v>1.3576204411621846</c:v>
                </c:pt>
                <c:pt idx="15">
                  <c:v>1.3821737927893971</c:v>
                </c:pt>
                <c:pt idx="16">
                  <c:v>1.4125075864510788</c:v>
                </c:pt>
                <c:pt idx="17">
                  <c:v>1.4395695171471754</c:v>
                </c:pt>
                <c:pt idx="18">
                  <c:v>1.4634808853560093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02-4728-856D-CF4AC5ED2FCE}"/>
            </c:ext>
          </c:extLst>
        </c:ser>
        <c:ser>
          <c:idx val="1"/>
          <c:order val="1"/>
          <c:tx>
            <c:strRef>
              <c:f>'10s 1000'!$H$1</c:f>
              <c:strCache>
                <c:ptCount val="1"/>
                <c:pt idx="0">
                  <c:v>Log 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'5s 500'!$A$2:$A$20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cat>
          <c:val>
            <c:numRef>
              <c:f>'40s 4000'!$F$2:$F$20</c:f>
              <c:numCache>
                <c:formatCode>General</c:formatCode>
                <c:ptCount val="19"/>
                <c:pt idx="0">
                  <c:v>0.71443319838513852</c:v>
                </c:pt>
                <c:pt idx="1">
                  <c:v>1.3382644710825842</c:v>
                </c:pt>
                <c:pt idx="2">
                  <c:v>1.8244134187280845</c:v>
                </c:pt>
                <c:pt idx="3">
                  <c:v>2.2210495831309771</c:v>
                </c:pt>
                <c:pt idx="4">
                  <c:v>2.5477012993570387</c:v>
                </c:pt>
                <c:pt idx="5">
                  <c:v>2.832572898793499</c:v>
                </c:pt>
                <c:pt idx="6">
                  <c:v>3.0777538008309633</c:v>
                </c:pt>
                <c:pt idx="7">
                  <c:v>3.2423443638663829</c:v>
                </c:pt>
                <c:pt idx="8">
                  <c:v>3.4318787840667619</c:v>
                </c:pt>
                <c:pt idx="9">
                  <c:v>3.755981536128548</c:v>
                </c:pt>
                <c:pt idx="10">
                  <c:v>3.9300885869662117</c:v>
                </c:pt>
                <c:pt idx="11">
                  <c:v>4.0414433142515032</c:v>
                </c:pt>
                <c:pt idx="12">
                  <c:v>4.1408236655760318</c:v>
                </c:pt>
                <c:pt idx="13">
                  <c:v>4.2119098217974935</c:v>
                </c:pt>
                <c:pt idx="14">
                  <c:v>4.3563986364523366</c:v>
                </c:pt>
                <c:pt idx="15">
                  <c:v>4.4932838820112169</c:v>
                </c:pt>
                <c:pt idx="16">
                  <c:v>4.5899965896699015</c:v>
                </c:pt>
                <c:pt idx="17">
                  <c:v>4.758048832228817</c:v>
                </c:pt>
                <c:pt idx="18">
                  <c:v>4.8399777690945296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02-4728-856D-CF4AC5ED2FCE}"/>
            </c:ext>
          </c:extLst>
        </c:ser>
        <c:ser>
          <c:idx val="2"/>
          <c:order val="2"/>
          <c:tx>
            <c:strRef>
              <c:f>'10s 1000'!$I$1</c:f>
              <c:strCache>
                <c:ptCount val="1"/>
                <c:pt idx="0">
                  <c:v>Log Ftst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'5s 500'!$A$2:$A$20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cat>
          <c:val>
            <c:numRef>
              <c:f>'40s 4000'!$G$2:$G$20</c:f>
              <c:numCache>
                <c:formatCode>General</c:formatCode>
                <c:ptCount val="19"/>
                <c:pt idx="0">
                  <c:v>-0.10623823794205658</c:v>
                </c:pt>
                <c:pt idx="1">
                  <c:v>0.15341848503771086</c:v>
                </c:pt>
                <c:pt idx="2">
                  <c:v>0.21258707812389371</c:v>
                </c:pt>
                <c:pt idx="3">
                  <c:v>0.29887489970469894</c:v>
                </c:pt>
                <c:pt idx="4">
                  <c:v>0.37817979038095018</c:v>
                </c:pt>
                <c:pt idx="5">
                  <c:v>0.47092475329996797</c:v>
                </c:pt>
                <c:pt idx="6">
                  <c:v>0.50956540322279242</c:v>
                </c:pt>
                <c:pt idx="7">
                  <c:v>0.55837252216915689</c:v>
                </c:pt>
                <c:pt idx="8">
                  <c:v>0.60689705226627222</c:v>
                </c:pt>
                <c:pt idx="9">
                  <c:v>0.77782540731578609</c:v>
                </c:pt>
                <c:pt idx="10">
                  <c:v>0.87394804398844594</c:v>
                </c:pt>
                <c:pt idx="11">
                  <c:v>0.74411296792625192</c:v>
                </c:pt>
                <c:pt idx="12">
                  <c:v>0.74741180788642325</c:v>
                </c:pt>
                <c:pt idx="13">
                  <c:v>0.77542110822219423</c:v>
                </c:pt>
                <c:pt idx="14">
                  <c:v>0.80924987473863941</c:v>
                </c:pt>
                <c:pt idx="15">
                  <c:v>0.83145382933658074</c:v>
                </c:pt>
                <c:pt idx="16">
                  <c:v>0.86286452691444582</c:v>
                </c:pt>
                <c:pt idx="17">
                  <c:v>0.87808498356654152</c:v>
                </c:pt>
                <c:pt idx="18">
                  <c:v>0.91170080309601198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02-4728-856D-CF4AC5ED2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2662447"/>
        <c:axId val="732663887"/>
      </c:barChart>
      <c:catAx>
        <c:axId val="732662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N, Number</a:t>
                </a:r>
                <a:r>
                  <a:rPr lang="en-US" sz="1200" b="1" baseline="0"/>
                  <a:t> of Links</a:t>
                </a:r>
                <a:endParaRPr lang="en-US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663887"/>
        <c:crosses val="autoZero"/>
        <c:auto val="1"/>
        <c:lblAlgn val="ctr"/>
        <c:lblOffset val="100"/>
        <c:noMultiLvlLbl val="0"/>
      </c:catAx>
      <c:valAx>
        <c:axId val="73266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Log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662447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3053999828968746"/>
          <c:y val="0.11762405856546715"/>
          <c:w val="0.10201027786493486"/>
          <c:h val="0.1965019209542527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Log Time vs 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'10s 1000'!$G$1</c:f>
              <c:strCache>
                <c:ptCount val="1"/>
                <c:pt idx="0">
                  <c:v>Log 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'5s 500'!$A$2:$A$20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cat>
          <c:val>
            <c:numRef>
              <c:f>'50s 5000'!$E$2:$E$20</c:f>
              <c:numCache>
                <c:formatCode>General</c:formatCode>
                <c:ptCount val="19"/>
                <c:pt idx="0">
                  <c:v>0.46899680905960173</c:v>
                </c:pt>
                <c:pt idx="1">
                  <c:v>0.82456836736763361</c:v>
                </c:pt>
                <c:pt idx="2">
                  <c:v>0.79383227602875162</c:v>
                </c:pt>
                <c:pt idx="3">
                  <c:v>0.88978336209224385</c:v>
                </c:pt>
                <c:pt idx="4">
                  <c:v>0.97726621242729272</c:v>
                </c:pt>
                <c:pt idx="5">
                  <c:v>1.0583273099476809</c:v>
                </c:pt>
                <c:pt idx="6">
                  <c:v>1.1245303078036846</c:v>
                </c:pt>
                <c:pt idx="7">
                  <c:v>1.1669419657783466</c:v>
                </c:pt>
                <c:pt idx="8">
                  <c:v>1.2234595968072284</c:v>
                </c:pt>
                <c:pt idx="9">
                  <c:v>1.2673688768185429</c:v>
                </c:pt>
                <c:pt idx="10">
                  <c:v>1.4052524208130259</c:v>
                </c:pt>
                <c:pt idx="11">
                  <c:v>1.3420711548776225</c:v>
                </c:pt>
                <c:pt idx="12">
                  <c:v>1.3746237204310248</c:v>
                </c:pt>
                <c:pt idx="13">
                  <c:v>1.5617011070794642</c:v>
                </c:pt>
                <c:pt idx="14">
                  <c:v>1.6327598768442473</c:v>
                </c:pt>
                <c:pt idx="15">
                  <c:v>1.6615202189009322</c:v>
                </c:pt>
                <c:pt idx="16">
                  <c:v>1.6516646353793001</c:v>
                </c:pt>
                <c:pt idx="17">
                  <c:v>1.7045159943368395</c:v>
                </c:pt>
                <c:pt idx="18">
                  <c:v>1.7373318173516272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90-4E0D-B099-9A55D00DDE91}"/>
            </c:ext>
          </c:extLst>
        </c:ser>
        <c:ser>
          <c:idx val="1"/>
          <c:order val="1"/>
          <c:tx>
            <c:strRef>
              <c:f>'10s 1000'!$H$1</c:f>
              <c:strCache>
                <c:ptCount val="1"/>
                <c:pt idx="0">
                  <c:v>Log 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'5s 500'!$A$2:$A$20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cat>
          <c:val>
            <c:numRef>
              <c:f>'50s 5000'!$F$2:$F$20</c:f>
              <c:numCache>
                <c:formatCode>General</c:formatCode>
                <c:ptCount val="19"/>
                <c:pt idx="0">
                  <c:v>0.74742374111624665</c:v>
                </c:pt>
                <c:pt idx="1">
                  <c:v>1.3660422307467972</c:v>
                </c:pt>
                <c:pt idx="2">
                  <c:v>1.8424163357060175</c:v>
                </c:pt>
                <c:pt idx="3">
                  <c:v>2.2323857091921235</c:v>
                </c:pt>
                <c:pt idx="4">
                  <c:v>2.5663329726919635</c:v>
                </c:pt>
                <c:pt idx="5">
                  <c:v>2.850433268420645</c:v>
                </c:pt>
                <c:pt idx="6">
                  <c:v>3.1997061448320441</c:v>
                </c:pt>
                <c:pt idx="7">
                  <c:v>3.3772135738867761</c:v>
                </c:pt>
                <c:pt idx="8">
                  <c:v>3.5574628841273133</c:v>
                </c:pt>
                <c:pt idx="9">
                  <c:v>3.7648538651379928</c:v>
                </c:pt>
                <c:pt idx="10">
                  <c:v>3.9559410389329179</c:v>
                </c:pt>
                <c:pt idx="11">
                  <c:v>4.0892909981631078</c:v>
                </c:pt>
                <c:pt idx="12">
                  <c:v>4.2447436488543904</c:v>
                </c:pt>
                <c:pt idx="13">
                  <c:v>4.3389880912057013</c:v>
                </c:pt>
                <c:pt idx="14">
                  <c:v>4.459559532335879</c:v>
                </c:pt>
                <c:pt idx="15">
                  <c:v>4.6057433427060754</c:v>
                </c:pt>
                <c:pt idx="16">
                  <c:v>4.6882069343890471</c:v>
                </c:pt>
                <c:pt idx="17">
                  <c:v>4.8284274294341634</c:v>
                </c:pt>
                <c:pt idx="18">
                  <c:v>4.9430491144744444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90-4E0D-B099-9A55D00DDE91}"/>
            </c:ext>
          </c:extLst>
        </c:ser>
        <c:ser>
          <c:idx val="2"/>
          <c:order val="2"/>
          <c:tx>
            <c:strRef>
              <c:f>'10s 1000'!$I$1</c:f>
              <c:strCache>
                <c:ptCount val="1"/>
                <c:pt idx="0">
                  <c:v>Log Ftst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'5s 500'!$A$2:$A$20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cat>
          <c:val>
            <c:numRef>
              <c:f>'50s 5000'!$G$2:$G$20</c:f>
              <c:numCache>
                <c:formatCode>General</c:formatCode>
                <c:ptCount val="19"/>
                <c:pt idx="0">
                  <c:v>-9.1297737411159135E-4</c:v>
                </c:pt>
                <c:pt idx="1">
                  <c:v>0.20246107062939966</c:v>
                </c:pt>
                <c:pt idx="2">
                  <c:v>0.4694980145184654</c:v>
                </c:pt>
                <c:pt idx="3">
                  <c:v>0.39289032070334656</c:v>
                </c:pt>
                <c:pt idx="4">
                  <c:v>0.4722297124644031</c:v>
                </c:pt>
                <c:pt idx="5">
                  <c:v>0.58251788360406243</c:v>
                </c:pt>
                <c:pt idx="6">
                  <c:v>0.60705807900684339</c:v>
                </c:pt>
                <c:pt idx="7">
                  <c:v>0.65152029823422042</c:v>
                </c:pt>
                <c:pt idx="8">
                  <c:v>0.70307632761567695</c:v>
                </c:pt>
                <c:pt idx="9">
                  <c:v>0.75620997120951028</c:v>
                </c:pt>
                <c:pt idx="10">
                  <c:v>0.77863594198596153</c:v>
                </c:pt>
                <c:pt idx="11">
                  <c:v>0.80567073669837308</c:v>
                </c:pt>
                <c:pt idx="12">
                  <c:v>0.84296476625340155</c:v>
                </c:pt>
                <c:pt idx="13">
                  <c:v>0.86902038992565844</c:v>
                </c:pt>
                <c:pt idx="14">
                  <c:v>1.0820777196101774</c:v>
                </c:pt>
                <c:pt idx="15">
                  <c:v>1.1104213464739563</c:v>
                </c:pt>
                <c:pt idx="16">
                  <c:v>1.073897894912152</c:v>
                </c:pt>
                <c:pt idx="17">
                  <c:v>1.1525635142565396</c:v>
                </c:pt>
                <c:pt idx="18">
                  <c:v>1.1727167434783541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90-4E0D-B099-9A55D00DD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2662447"/>
        <c:axId val="732663887"/>
      </c:barChart>
      <c:catAx>
        <c:axId val="732662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N, Number</a:t>
                </a:r>
                <a:r>
                  <a:rPr lang="en-US" sz="1200" b="1" baseline="0"/>
                  <a:t> of Links</a:t>
                </a:r>
                <a:endParaRPr lang="en-US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663887"/>
        <c:crosses val="autoZero"/>
        <c:auto val="1"/>
        <c:lblAlgn val="ctr"/>
        <c:lblOffset val="100"/>
        <c:noMultiLvlLbl val="0"/>
      </c:catAx>
      <c:valAx>
        <c:axId val="73266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Log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662447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3053999828968746"/>
          <c:y val="0.11762405856546715"/>
          <c:w val="0.10201027786493486"/>
          <c:h val="0.1965019209542527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38100</xdr:colOff>
      <xdr:row>29</xdr:row>
      <xdr:rowOff>128586</xdr:rowOff>
    </xdr:from>
    <xdr:to>
      <xdr:col>28</xdr:col>
      <xdr:colOff>0</xdr:colOff>
      <xdr:row>50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A2A4D4-266A-25D5-175E-4AB0F11049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400050</xdr:colOff>
      <xdr:row>4</xdr:row>
      <xdr:rowOff>52386</xdr:rowOff>
    </xdr:from>
    <xdr:to>
      <xdr:col>23</xdr:col>
      <xdr:colOff>247650</xdr:colOff>
      <xdr:row>23</xdr:row>
      <xdr:rowOff>171449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8E56B5-154B-5CAD-8573-E23D1B210F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400050</xdr:colOff>
      <xdr:row>6</xdr:row>
      <xdr:rowOff>19050</xdr:rowOff>
    </xdr:from>
    <xdr:to>
      <xdr:col>30</xdr:col>
      <xdr:colOff>304801</xdr:colOff>
      <xdr:row>32</xdr:row>
      <xdr:rowOff>147639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E4A97E-06D1-438C-B95D-91CF17A24B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76200</xdr:colOff>
      <xdr:row>6</xdr:row>
      <xdr:rowOff>76200</xdr:rowOff>
    </xdr:from>
    <xdr:to>
      <xdr:col>28</xdr:col>
      <xdr:colOff>590551</xdr:colOff>
      <xdr:row>33</xdr:row>
      <xdr:rowOff>14289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C40498-7A4E-443C-8BC2-2098EF23C7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34</xdr:row>
      <xdr:rowOff>0</xdr:rowOff>
    </xdr:from>
    <xdr:to>
      <xdr:col>20</xdr:col>
      <xdr:colOff>514351</xdr:colOff>
      <xdr:row>60</xdr:row>
      <xdr:rowOff>128589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CE6082-10EB-44F9-A45D-C1BC29AAB9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57150</xdr:colOff>
      <xdr:row>10</xdr:row>
      <xdr:rowOff>38100</xdr:rowOff>
    </xdr:from>
    <xdr:to>
      <xdr:col>29</xdr:col>
      <xdr:colOff>571501</xdr:colOff>
      <xdr:row>36</xdr:row>
      <xdr:rowOff>166689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5AD938-F46C-4D31-8AAC-96059532B7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323850</xdr:colOff>
      <xdr:row>1</xdr:row>
      <xdr:rowOff>152400</xdr:rowOff>
    </xdr:from>
    <xdr:to>
      <xdr:col>26</xdr:col>
      <xdr:colOff>228601</xdr:colOff>
      <xdr:row>28</xdr:row>
      <xdr:rowOff>90489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865C85-A5C2-4400-A00A-5BD4B1294E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438150</xdr:colOff>
      <xdr:row>4</xdr:row>
      <xdr:rowOff>47625</xdr:rowOff>
    </xdr:from>
    <xdr:to>
      <xdr:col>27</xdr:col>
      <xdr:colOff>342901</xdr:colOff>
      <xdr:row>30</xdr:row>
      <xdr:rowOff>176214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9200E3-22BF-4A03-9198-F5C712E3D8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447675</xdr:colOff>
      <xdr:row>7</xdr:row>
      <xdr:rowOff>57150</xdr:rowOff>
    </xdr:from>
    <xdr:to>
      <xdr:col>27</xdr:col>
      <xdr:colOff>352426</xdr:colOff>
      <xdr:row>33</xdr:row>
      <xdr:rowOff>185739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257044-8863-4176-8AB7-F33F89695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workbookViewId="0">
      <selection activeCell="E18" sqref="E1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 x14ac:dyDescent="0.25">
      <c r="A2">
        <v>2</v>
      </c>
      <c r="B2">
        <v>5.1044999999999998</v>
      </c>
      <c r="C2">
        <v>12.662100000000001</v>
      </c>
      <c r="D2">
        <v>2.0602999999999998</v>
      </c>
      <c r="E2">
        <f>LOG(B2)</f>
        <v>0.70795320815149065</v>
      </c>
      <c r="F2">
        <f t="shared" ref="F2:G10" si="0">LOG(C2)</f>
        <v>1.1025057390762039</v>
      </c>
      <c r="G2">
        <f t="shared" si="0"/>
        <v>0.31393046253346235</v>
      </c>
    </row>
    <row r="3" spans="1:10" x14ac:dyDescent="0.25">
      <c r="A3">
        <v>3</v>
      </c>
      <c r="B3">
        <v>7.6477000000000004</v>
      </c>
      <c r="C3">
        <v>53.881100000000004</v>
      </c>
      <c r="D3">
        <v>3.0825999999999998</v>
      </c>
      <c r="E3">
        <f>LOG(B3)</f>
        <v>0.88353084332400877</v>
      </c>
      <c r="F3">
        <f t="shared" si="0"/>
        <v>1.7314364534030939</v>
      </c>
      <c r="G3">
        <f t="shared" si="0"/>
        <v>0.4889171740735288</v>
      </c>
    </row>
    <row r="4" spans="1:10" x14ac:dyDescent="0.25">
      <c r="A4">
        <v>4</v>
      </c>
      <c r="B4">
        <v>10.628</v>
      </c>
      <c r="C4">
        <v>156.5943</v>
      </c>
      <c r="D4">
        <v>4.2058999999999997</v>
      </c>
      <c r="E4">
        <f t="shared" ref="E4:E10" si="1">LOG(B4)</f>
        <v>1.0264515457382399</v>
      </c>
      <c r="F4">
        <f t="shared" si="0"/>
        <v>2.1947759497806745</v>
      </c>
      <c r="G4">
        <f t="shared" si="0"/>
        <v>0.62385894263359321</v>
      </c>
    </row>
    <row r="5" spans="1:10" x14ac:dyDescent="0.25">
      <c r="A5">
        <v>5</v>
      </c>
      <c r="B5">
        <v>13.7247</v>
      </c>
      <c r="C5">
        <v>344.43310000000002</v>
      </c>
      <c r="D5">
        <v>4.8621999999999996</v>
      </c>
      <c r="E5">
        <f t="shared" si="1"/>
        <v>1.1375028602428212</v>
      </c>
      <c r="F5">
        <f t="shared" si="0"/>
        <v>2.5371048804604892</v>
      </c>
      <c r="G5">
        <f t="shared" si="0"/>
        <v>0.68683281898900028</v>
      </c>
    </row>
    <row r="6" spans="1:10" x14ac:dyDescent="0.25">
      <c r="A6">
        <v>6</v>
      </c>
      <c r="B6">
        <v>16.287700000000001</v>
      </c>
      <c r="C6">
        <v>855.30179999999996</v>
      </c>
      <c r="D6">
        <v>5.2453000000000003</v>
      </c>
      <c r="E6">
        <f t="shared" si="1"/>
        <v>1.2118597615441622</v>
      </c>
      <c r="F6">
        <f t="shared" si="0"/>
        <v>2.932119386011637</v>
      </c>
      <c r="G6">
        <f t="shared" si="0"/>
        <v>0.71977033230434129</v>
      </c>
    </row>
    <row r="7" spans="1:10" x14ac:dyDescent="0.25">
      <c r="A7">
        <v>7</v>
      </c>
      <c r="B7">
        <v>19.545200000000001</v>
      </c>
      <c r="C7">
        <v>1441.6273000000001</v>
      </c>
      <c r="D7">
        <v>6.1509</v>
      </c>
      <c r="E7">
        <f t="shared" si="1"/>
        <v>1.2910401187924143</v>
      </c>
      <c r="F7">
        <f t="shared" si="0"/>
        <v>3.1588529979184887</v>
      </c>
      <c r="G7">
        <f t="shared" si="0"/>
        <v>0.78893866641551791</v>
      </c>
    </row>
    <row r="8" spans="1:10" x14ac:dyDescent="0.25">
      <c r="A8">
        <v>8</v>
      </c>
      <c r="B8">
        <v>24.0747</v>
      </c>
      <c r="C8">
        <v>2788.8561</v>
      </c>
      <c r="D8">
        <v>6.9653</v>
      </c>
      <c r="E8">
        <f t="shared" si="1"/>
        <v>1.3815608839936087</v>
      </c>
      <c r="F8">
        <f>LOG(C8)</f>
        <v>3.4454261060235858</v>
      </c>
      <c r="G8">
        <f t="shared" si="0"/>
        <v>0.84293982650854349</v>
      </c>
    </row>
    <row r="9" spans="1:10" x14ac:dyDescent="0.25">
      <c r="A9">
        <v>9</v>
      </c>
      <c r="B9">
        <v>29.3552</v>
      </c>
      <c r="C9">
        <v>4876.9381999999996</v>
      </c>
      <c r="D9">
        <v>7.6532999999999998</v>
      </c>
      <c r="E9">
        <f t="shared" si="1"/>
        <v>1.4676850436167821</v>
      </c>
      <c r="F9">
        <f t="shared" si="0"/>
        <v>3.688147252296706</v>
      </c>
      <c r="G9">
        <f t="shared" si="0"/>
        <v>0.88384873747566517</v>
      </c>
    </row>
    <row r="10" spans="1:10" x14ac:dyDescent="0.25">
      <c r="A10">
        <v>10</v>
      </c>
      <c r="B10">
        <v>33.444899999999997</v>
      </c>
      <c r="C10">
        <v>7725.8422</v>
      </c>
      <c r="D10">
        <v>8.6034000000000006</v>
      </c>
      <c r="E10">
        <f t="shared" si="1"/>
        <v>1.5243299017533518</v>
      </c>
      <c r="F10">
        <f t="shared" si="0"/>
        <v>3.8879458334529748</v>
      </c>
      <c r="G10">
        <f t="shared" si="0"/>
        <v>0.934670115130671</v>
      </c>
      <c r="J10">
        <f>C10/60/60</f>
        <v>2.1460672777777776</v>
      </c>
    </row>
    <row r="11" spans="1:10" x14ac:dyDescent="0.25">
      <c r="A11">
        <v>11</v>
      </c>
      <c r="B11">
        <v>36.402299999999997</v>
      </c>
      <c r="D11">
        <v>9.8241999999999994</v>
      </c>
    </row>
    <row r="12" spans="1:10" x14ac:dyDescent="0.25">
      <c r="A12">
        <v>12</v>
      </c>
      <c r="B12">
        <v>42.7622</v>
      </c>
      <c r="D12">
        <v>10.6586</v>
      </c>
    </row>
    <row r="13" spans="1:10" x14ac:dyDescent="0.25">
      <c r="A13">
        <v>13</v>
      </c>
      <c r="B13">
        <v>47.651699999999998</v>
      </c>
      <c r="D13">
        <v>11.883800000000001</v>
      </c>
    </row>
    <row r="14" spans="1:10" x14ac:dyDescent="0.25">
      <c r="A14">
        <v>14</v>
      </c>
      <c r="B14">
        <v>49.886899999999997</v>
      </c>
      <c r="D14">
        <v>12.687200000000001</v>
      </c>
    </row>
    <row r="15" spans="1:10" x14ac:dyDescent="0.25">
      <c r="A15">
        <v>15</v>
      </c>
      <c r="B15">
        <v>54.171700000000001</v>
      </c>
      <c r="D15">
        <v>13.371</v>
      </c>
    </row>
    <row r="16" spans="1:10" x14ac:dyDescent="0.25">
      <c r="A16">
        <v>16</v>
      </c>
      <c r="B16">
        <v>58.955800000000004</v>
      </c>
      <c r="D16">
        <v>14.2494</v>
      </c>
    </row>
    <row r="17" spans="1:4" x14ac:dyDescent="0.25">
      <c r="A17">
        <v>17</v>
      </c>
      <c r="B17">
        <v>64.813800000000001</v>
      </c>
      <c r="D17">
        <v>15.536</v>
      </c>
    </row>
    <row r="18" spans="1:4" x14ac:dyDescent="0.25">
      <c r="A18">
        <v>18</v>
      </c>
      <c r="B18">
        <v>68.753799999999998</v>
      </c>
      <c r="D18">
        <v>16.565799999999999</v>
      </c>
    </row>
    <row r="19" spans="1:4" x14ac:dyDescent="0.25">
      <c r="A19">
        <v>19</v>
      </c>
      <c r="B19">
        <v>73.287999999999997</v>
      </c>
      <c r="D19">
        <v>18.351400000000002</v>
      </c>
    </row>
    <row r="20" spans="1:4" x14ac:dyDescent="0.25">
      <c r="A20">
        <v>20</v>
      </c>
      <c r="B20">
        <v>74.099599999999995</v>
      </c>
      <c r="D20">
        <v>18.232600000000001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3C3B9-4C24-4A20-8862-62A97F88736A}">
  <dimension ref="A1:G20"/>
  <sheetViews>
    <sheetView workbookViewId="0">
      <selection activeCell="B20" sqref="B2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</v>
      </c>
      <c r="B2">
        <v>5.3399000000000001</v>
      </c>
      <c r="C2">
        <v>11.7684</v>
      </c>
      <c r="D2">
        <v>1.7912999999999999</v>
      </c>
      <c r="E2">
        <f>LOG(B2)</f>
        <v>0.72753312409693882</v>
      </c>
      <c r="F2">
        <f t="shared" ref="F2:G10" si="0">LOG(C2)</f>
        <v>1.0707174213476562</v>
      </c>
      <c r="G2">
        <f t="shared" si="0"/>
        <v>0.25316832590144228</v>
      </c>
    </row>
    <row r="3" spans="1:7" x14ac:dyDescent="0.25">
      <c r="A3">
        <v>3</v>
      </c>
      <c r="B3">
        <v>8.4902999999999995</v>
      </c>
      <c r="C3">
        <v>49.769799999999996</v>
      </c>
      <c r="D3">
        <v>2.6265999999999998</v>
      </c>
      <c r="E3">
        <f>LOG(B3)</f>
        <v>0.92892303606759352</v>
      </c>
      <c r="F3">
        <f t="shared" si="0"/>
        <v>1.6969658955346418</v>
      </c>
      <c r="G3">
        <f t="shared" si="0"/>
        <v>0.41939393992742208</v>
      </c>
    </row>
    <row r="4" spans="1:7" x14ac:dyDescent="0.25">
      <c r="A4">
        <v>4</v>
      </c>
      <c r="B4">
        <v>10.7682</v>
      </c>
      <c r="C4">
        <v>168.88140000000001</v>
      </c>
      <c r="D4">
        <v>3.476</v>
      </c>
      <c r="E4">
        <f t="shared" ref="E4:E10" si="1">LOG(B4)</f>
        <v>1.0321431131958148</v>
      </c>
      <c r="F4">
        <f t="shared" si="0"/>
        <v>2.2275818205468436</v>
      </c>
      <c r="G4">
        <f t="shared" si="0"/>
        <v>0.54107976777662881</v>
      </c>
    </row>
    <row r="5" spans="1:7" x14ac:dyDescent="0.25">
      <c r="A5">
        <v>5</v>
      </c>
      <c r="B5">
        <v>16.160399999999999</v>
      </c>
      <c r="C5">
        <v>411.93759999999997</v>
      </c>
      <c r="D5">
        <v>4.4328000000000003</v>
      </c>
      <c r="E5">
        <f t="shared" si="1"/>
        <v>1.2084521061689402</v>
      </c>
      <c r="F5">
        <f t="shared" si="0"/>
        <v>2.6148314344115104</v>
      </c>
      <c r="G5">
        <f t="shared" si="0"/>
        <v>0.64667813715184741</v>
      </c>
    </row>
    <row r="6" spans="1:7" x14ac:dyDescent="0.25">
      <c r="A6">
        <v>6</v>
      </c>
      <c r="B6">
        <v>18.864999999999998</v>
      </c>
      <c r="C6">
        <v>870.1816</v>
      </c>
      <c r="D6">
        <v>6.1944999999999997</v>
      </c>
      <c r="E6">
        <f t="shared" si="1"/>
        <v>1.2756568095370142</v>
      </c>
      <c r="F6">
        <f t="shared" si="0"/>
        <v>2.939609895891941</v>
      </c>
      <c r="G6">
        <f t="shared" si="0"/>
        <v>0.79200625728118201</v>
      </c>
    </row>
    <row r="7" spans="1:7" x14ac:dyDescent="0.25">
      <c r="A7">
        <v>7</v>
      </c>
      <c r="B7">
        <v>23.397200000000002</v>
      </c>
      <c r="C7">
        <v>1700.8204000000001</v>
      </c>
      <c r="D7">
        <v>7.1741000000000001</v>
      </c>
      <c r="E7">
        <f t="shared" si="1"/>
        <v>1.3691638874396839</v>
      </c>
      <c r="F7">
        <f t="shared" si="0"/>
        <v>3.2306584562304321</v>
      </c>
      <c r="G7">
        <f t="shared" si="0"/>
        <v>0.85576742602624645</v>
      </c>
    </row>
    <row r="8" spans="1:7" x14ac:dyDescent="0.25">
      <c r="A8">
        <v>8</v>
      </c>
      <c r="B8">
        <v>26.837199999999999</v>
      </c>
      <c r="C8">
        <v>3144.7523000000001</v>
      </c>
      <c r="D8">
        <v>8.4384999999999994</v>
      </c>
      <c r="E8">
        <f t="shared" si="1"/>
        <v>1.4287372027047509</v>
      </c>
      <c r="F8">
        <f>LOG(C8)</f>
        <v>3.4975864434284483</v>
      </c>
      <c r="G8">
        <f t="shared" si="0"/>
        <v>0.92626525472772925</v>
      </c>
    </row>
    <row r="9" spans="1:7" x14ac:dyDescent="0.25">
      <c r="A9">
        <v>9</v>
      </c>
      <c r="B9">
        <v>26.590499999999999</v>
      </c>
      <c r="C9">
        <v>4949.8208999999997</v>
      </c>
      <c r="D9">
        <v>8.2903000000000002</v>
      </c>
      <c r="E9">
        <f t="shared" si="1"/>
        <v>1.4247265037550101</v>
      </c>
      <c r="F9">
        <f t="shared" si="0"/>
        <v>3.6945894850853076</v>
      </c>
      <c r="G9">
        <f t="shared" si="0"/>
        <v>0.91857024659215281</v>
      </c>
    </row>
    <row r="10" spans="1:7" x14ac:dyDescent="0.25">
      <c r="A10">
        <v>10</v>
      </c>
      <c r="B10">
        <v>42.4146</v>
      </c>
      <c r="D10">
        <v>8.9471000000000007</v>
      </c>
      <c r="E10">
        <f t="shared" si="1"/>
        <v>1.6275153756495557</v>
      </c>
      <c r="F10" t="e">
        <f t="shared" si="0"/>
        <v>#NUM!</v>
      </c>
      <c r="G10">
        <f t="shared" si="0"/>
        <v>0.95168229139555149</v>
      </c>
    </row>
    <row r="11" spans="1:7" x14ac:dyDescent="0.25">
      <c r="A11">
        <v>11</v>
      </c>
      <c r="B11">
        <v>47.238599999999998</v>
      </c>
      <c r="D11">
        <v>13.964600000000001</v>
      </c>
    </row>
    <row r="12" spans="1:7" x14ac:dyDescent="0.25">
      <c r="A12">
        <v>12</v>
      </c>
      <c r="B12">
        <v>43.269799999999996</v>
      </c>
      <c r="D12">
        <v>11.0503</v>
      </c>
    </row>
    <row r="13" spans="1:7" x14ac:dyDescent="0.25">
      <c r="A13">
        <v>13</v>
      </c>
      <c r="B13">
        <v>55.321599999999997</v>
      </c>
      <c r="D13">
        <v>15.0457</v>
      </c>
    </row>
    <row r="14" spans="1:7" x14ac:dyDescent="0.25">
      <c r="A14">
        <v>14</v>
      </c>
      <c r="B14">
        <v>63.568199999999997</v>
      </c>
      <c r="D14">
        <v>18.549299999999999</v>
      </c>
    </row>
    <row r="15" spans="1:7" x14ac:dyDescent="0.25">
      <c r="A15">
        <v>15</v>
      </c>
      <c r="B15">
        <v>69.976799999999997</v>
      </c>
      <c r="D15">
        <v>18.388999999999999</v>
      </c>
    </row>
    <row r="16" spans="1:7" x14ac:dyDescent="0.25">
      <c r="A16">
        <v>16</v>
      </c>
      <c r="B16">
        <v>56.990900000000003</v>
      </c>
      <c r="D16">
        <v>19.881599999999999</v>
      </c>
    </row>
    <row r="17" spans="1:4" x14ac:dyDescent="0.25">
      <c r="A17">
        <v>17</v>
      </c>
      <c r="B17">
        <v>55.110799999999998</v>
      </c>
      <c r="D17">
        <v>17.595700000000001</v>
      </c>
    </row>
    <row r="18" spans="1:4" x14ac:dyDescent="0.25">
      <c r="A18">
        <v>18</v>
      </c>
      <c r="B18">
        <v>81.079499999999996</v>
      </c>
      <c r="D18">
        <v>16.938700000000001</v>
      </c>
    </row>
    <row r="19" spans="1:4" x14ac:dyDescent="0.25">
      <c r="A19">
        <v>19</v>
      </c>
      <c r="B19">
        <v>91.253299999999996</v>
      </c>
      <c r="D19">
        <v>25.135400000000001</v>
      </c>
    </row>
    <row r="20" spans="1:4" x14ac:dyDescent="0.25">
      <c r="A20">
        <v>20</v>
      </c>
      <c r="B20">
        <v>98.279600000000002</v>
      </c>
      <c r="D20">
        <v>26.087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F1702-F245-4AE8-A213-25754971C215}">
  <dimension ref="A1:K23"/>
  <sheetViews>
    <sheetView tabSelected="1" workbookViewId="0">
      <selection activeCell="I24" sqref="I24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10</v>
      </c>
      <c r="G1" t="s">
        <v>4</v>
      </c>
      <c r="H1" t="s">
        <v>5</v>
      </c>
      <c r="I1" t="s">
        <v>6</v>
      </c>
      <c r="J1" t="s">
        <v>9</v>
      </c>
      <c r="K1" t="s">
        <v>11</v>
      </c>
    </row>
    <row r="2" spans="1:11" x14ac:dyDescent="0.25">
      <c r="A2">
        <v>2</v>
      </c>
      <c r="B2">
        <v>0.25790000000000002</v>
      </c>
      <c r="C2">
        <v>0.54239999999999999</v>
      </c>
      <c r="D2">
        <v>9.1399999999999995E-2</v>
      </c>
      <c r="E2">
        <v>0.16077680001035299</v>
      </c>
      <c r="F2">
        <v>0.29050260037183701</v>
      </c>
      <c r="G2">
        <f>LOG(B2)</f>
        <v>-0.58854865786206245</v>
      </c>
      <c r="H2">
        <f>LOG(C2)</f>
        <v>-0.26568031914099305</v>
      </c>
      <c r="I2">
        <f>LOG(D2)</f>
        <v>-1.0390538042661686</v>
      </c>
      <c r="J2">
        <f>LOG(E2)</f>
        <v>-0.79377661948310396</v>
      </c>
      <c r="K2">
        <f>LOG(F2)</f>
        <v>-0.53684997576216942</v>
      </c>
    </row>
    <row r="3" spans="1:11" x14ac:dyDescent="0.25">
      <c r="A3">
        <v>3</v>
      </c>
      <c r="B3">
        <v>0.38740000000000002</v>
      </c>
      <c r="C3">
        <v>2.3073000000000001</v>
      </c>
      <c r="D3">
        <v>0.12470000000000001</v>
      </c>
      <c r="E3">
        <v>0.171153699979186</v>
      </c>
      <c r="F3">
        <v>0.362886399962008</v>
      </c>
      <c r="G3">
        <f t="shared" ref="G3:G20" si="0">LOG(B3)</f>
        <v>-0.41184038361690795</v>
      </c>
      <c r="H3">
        <f t="shared" ref="H3:H20" si="1">LOG(C3)</f>
        <v>0.36310406607463558</v>
      </c>
      <c r="I3">
        <f t="shared" ref="I3:I20" si="2">LOG(D3)</f>
        <v>-0.90413354652145739</v>
      </c>
      <c r="J3">
        <f t="shared" ref="J3:J20" si="3">LOG(E3)</f>
        <v>-0.76661370790106853</v>
      </c>
      <c r="K3">
        <f t="shared" ref="K3:K20" si="4">LOG(F3)</f>
        <v>-0.44022930772154567</v>
      </c>
    </row>
    <row r="4" spans="1:11" x14ac:dyDescent="0.25">
      <c r="A4">
        <v>4</v>
      </c>
      <c r="B4">
        <v>0.57030000000000003</v>
      </c>
      <c r="C4">
        <v>7.9058999999999999</v>
      </c>
      <c r="D4">
        <v>0.16689999999999999</v>
      </c>
      <c r="E4">
        <v>0.214481299975886</v>
      </c>
      <c r="F4">
        <v>0.51265690010040998</v>
      </c>
      <c r="G4">
        <f t="shared" si="0"/>
        <v>-0.2438966284148944</v>
      </c>
      <c r="H4">
        <f t="shared" si="1"/>
        <v>0.89795131674577622</v>
      </c>
      <c r="I4">
        <f t="shared" si="2"/>
        <v>-0.77754366332075331</v>
      </c>
      <c r="J4">
        <f t="shared" si="3"/>
        <v>-0.66861056674877373</v>
      </c>
      <c r="K4">
        <f t="shared" si="4"/>
        <v>-0.29017319286849264</v>
      </c>
    </row>
    <row r="5" spans="1:11" x14ac:dyDescent="0.25">
      <c r="A5">
        <v>5</v>
      </c>
      <c r="B5">
        <v>0.65739999999999998</v>
      </c>
      <c r="C5">
        <v>19.785599999999999</v>
      </c>
      <c r="D5">
        <v>0.22689999999999999</v>
      </c>
      <c r="E5">
        <v>0.261726500000804</v>
      </c>
      <c r="F5">
        <v>0.59181279968470302</v>
      </c>
      <c r="G5">
        <f t="shared" si="0"/>
        <v>-0.18217030025439443</v>
      </c>
      <c r="H5">
        <f t="shared" si="1"/>
        <v>1.2963492248187813</v>
      </c>
      <c r="I5">
        <f t="shared" si="2"/>
        <v>-0.64416550411506401</v>
      </c>
      <c r="J5">
        <f t="shared" si="3"/>
        <v>-0.58215230249782446</v>
      </c>
      <c r="K5">
        <f t="shared" si="4"/>
        <v>-0.22781564618396441</v>
      </c>
    </row>
    <row r="6" spans="1:11" x14ac:dyDescent="0.25">
      <c r="A6">
        <v>6</v>
      </c>
      <c r="B6">
        <v>1.0817000000000001</v>
      </c>
      <c r="C6">
        <v>43.192700000000002</v>
      </c>
      <c r="D6">
        <v>0.35560000000000003</v>
      </c>
      <c r="E6">
        <v>0.31769059994257898</v>
      </c>
      <c r="F6">
        <v>0.72773130005225495</v>
      </c>
      <c r="G6">
        <f t="shared" si="0"/>
        <v>3.4106829707643734E-2</v>
      </c>
      <c r="H6">
        <f t="shared" si="1"/>
        <v>1.635410352888679</v>
      </c>
      <c r="I6">
        <f t="shared" si="2"/>
        <v>-0.44903824770182388</v>
      </c>
      <c r="J6">
        <f t="shared" si="3"/>
        <v>-0.49799563519949192</v>
      </c>
      <c r="K6">
        <f t="shared" si="4"/>
        <v>-0.13802894547480579</v>
      </c>
    </row>
    <row r="7" spans="1:11" x14ac:dyDescent="0.25">
      <c r="A7">
        <v>7</v>
      </c>
      <c r="B7">
        <v>1.1708000000000001</v>
      </c>
      <c r="C7">
        <v>80.441699999999997</v>
      </c>
      <c r="D7">
        <v>0.38019999999999998</v>
      </c>
      <c r="E7">
        <v>0.38544899993576098</v>
      </c>
      <c r="F7">
        <v>0.82225760025903505</v>
      </c>
      <c r="G7">
        <f t="shared" si="0"/>
        <v>6.8482713761754369E-2</v>
      </c>
      <c r="H7">
        <f t="shared" si="1"/>
        <v>1.9054812401049357</v>
      </c>
      <c r="I7">
        <f t="shared" si="2"/>
        <v>-0.41998788747057569</v>
      </c>
      <c r="J7">
        <f t="shared" si="3"/>
        <v>-0.4140330767873921</v>
      </c>
      <c r="K7">
        <f t="shared" si="4"/>
        <v>-8.4992103573121355E-2</v>
      </c>
    </row>
    <row r="8" spans="1:11" x14ac:dyDescent="0.25">
      <c r="A8">
        <v>8</v>
      </c>
      <c r="B8">
        <v>1.3524</v>
      </c>
      <c r="C8">
        <v>144.1585</v>
      </c>
      <c r="D8">
        <v>0.39839999999999998</v>
      </c>
      <c r="E8">
        <v>0.42272499995306101</v>
      </c>
      <c r="F8">
        <v>0.96535980002954602</v>
      </c>
      <c r="G8">
        <f t="shared" si="0"/>
        <v>0.13110516209373138</v>
      </c>
      <c r="H8">
        <f t="shared" si="1"/>
        <v>2.1588402547316026</v>
      </c>
      <c r="I8">
        <f t="shared" si="2"/>
        <v>-0.39968067024833892</v>
      </c>
      <c r="J8">
        <f t="shared" si="3"/>
        <v>-0.37394206723934081</v>
      </c>
      <c r="K8">
        <f t="shared" si="4"/>
        <v>-1.5310790237490447E-2</v>
      </c>
    </row>
    <row r="9" spans="1:11" x14ac:dyDescent="0.25">
      <c r="A9">
        <v>9</v>
      </c>
      <c r="B9">
        <v>1.635</v>
      </c>
      <c r="C9">
        <v>249.5752</v>
      </c>
      <c r="D9">
        <v>0.44059999999999999</v>
      </c>
      <c r="E9">
        <v>0.47448320011608303</v>
      </c>
      <c r="F9">
        <v>1.1232902999036001</v>
      </c>
      <c r="G9">
        <f t="shared" si="0"/>
        <v>0.21351775699630487</v>
      </c>
      <c r="H9">
        <f t="shared" si="1"/>
        <v>2.3972014278122304</v>
      </c>
      <c r="I9">
        <f t="shared" si="2"/>
        <v>-0.35595550718525121</v>
      </c>
      <c r="J9">
        <f t="shared" si="3"/>
        <v>-0.32377915989853379</v>
      </c>
      <c r="K9">
        <f t="shared" si="4"/>
        <v>5.0492008579813841E-2</v>
      </c>
    </row>
    <row r="10" spans="1:11" x14ac:dyDescent="0.25">
      <c r="A10">
        <v>10</v>
      </c>
      <c r="B10">
        <v>1.7769999999999999</v>
      </c>
      <c r="C10">
        <v>359.82100000000003</v>
      </c>
      <c r="D10">
        <v>0.54149999999999998</v>
      </c>
      <c r="E10">
        <v>0.50923950015567199</v>
      </c>
      <c r="F10">
        <v>1.27584999985992</v>
      </c>
      <c r="G10">
        <f t="shared" si="0"/>
        <v>0.24968742780530151</v>
      </c>
      <c r="H10">
        <f t="shared" si="1"/>
        <v>2.5560865061967952</v>
      </c>
      <c r="I10">
        <f t="shared" si="2"/>
        <v>-0.26640153903866087</v>
      </c>
      <c r="J10">
        <f t="shared" si="3"/>
        <v>-0.29307791681275264</v>
      </c>
      <c r="K10">
        <f t="shared" si="4"/>
        <v>0.10579961790988042</v>
      </c>
    </row>
    <row r="11" spans="1:11" x14ac:dyDescent="0.25">
      <c r="A11">
        <v>11</v>
      </c>
      <c r="B11">
        <v>1.8908</v>
      </c>
      <c r="C11">
        <v>603.75879999999995</v>
      </c>
      <c r="D11">
        <v>0.48170000000000002</v>
      </c>
      <c r="E11">
        <v>0.55982999992556803</v>
      </c>
      <c r="F11">
        <v>1.35342830000445</v>
      </c>
      <c r="G11">
        <f t="shared" si="0"/>
        <v>0.27664559363087632</v>
      </c>
      <c r="H11">
        <f t="shared" si="1"/>
        <v>2.7808634738027793</v>
      </c>
      <c r="I11">
        <f t="shared" si="2"/>
        <v>-0.31722335368556592</v>
      </c>
      <c r="J11">
        <f t="shared" si="3"/>
        <v>-0.25194383246322088</v>
      </c>
      <c r="K11">
        <f t="shared" si="4"/>
        <v>0.13143525328183239</v>
      </c>
    </row>
    <row r="12" spans="1:11" x14ac:dyDescent="0.25">
      <c r="A12">
        <v>12</v>
      </c>
      <c r="B12">
        <v>2.1282000000000001</v>
      </c>
      <c r="C12">
        <v>907.55240000000003</v>
      </c>
      <c r="D12">
        <v>0.61350000000000005</v>
      </c>
      <c r="E12">
        <v>0.61381729994900502</v>
      </c>
      <c r="F12">
        <v>1.4627077998593401</v>
      </c>
      <c r="G12">
        <f t="shared" si="0"/>
        <v>0.3280124388555864</v>
      </c>
      <c r="H12">
        <f t="shared" si="1"/>
        <v>2.9578717096022213</v>
      </c>
      <c r="I12">
        <f t="shared" si="2"/>
        <v>-0.21218543293697692</v>
      </c>
      <c r="J12">
        <f t="shared" si="3"/>
        <v>-0.21196087548954762</v>
      </c>
      <c r="K12">
        <f t="shared" si="4"/>
        <v>0.16515757726465702</v>
      </c>
    </row>
    <row r="13" spans="1:11" x14ac:dyDescent="0.25">
      <c r="A13">
        <v>13</v>
      </c>
      <c r="B13">
        <v>2.4001000000000001</v>
      </c>
      <c r="C13">
        <v>1159.4639</v>
      </c>
      <c r="D13">
        <v>0.60750000000000004</v>
      </c>
      <c r="E13">
        <v>0.67912780004553497</v>
      </c>
      <c r="F13">
        <v>1.66672970028594</v>
      </c>
      <c r="G13">
        <f t="shared" si="0"/>
        <v>0.3802293369380374</v>
      </c>
      <c r="H13">
        <f t="shared" si="1"/>
        <v>3.0642572313915459</v>
      </c>
      <c r="I13">
        <f t="shared" si="2"/>
        <v>-0.21645371772965016</v>
      </c>
      <c r="J13">
        <f t="shared" si="3"/>
        <v>-0.16804849135734951</v>
      </c>
      <c r="K13">
        <f t="shared" si="4"/>
        <v>0.22186517439757919</v>
      </c>
    </row>
    <row r="14" spans="1:11" x14ac:dyDescent="0.25">
      <c r="A14">
        <v>14</v>
      </c>
      <c r="B14">
        <v>2.1959</v>
      </c>
      <c r="C14">
        <v>2412.7872000000002</v>
      </c>
      <c r="D14">
        <v>0.63560000000000005</v>
      </c>
      <c r="E14">
        <v>0.70740539999678698</v>
      </c>
      <c r="F14">
        <v>1.68324160017073</v>
      </c>
      <c r="G14">
        <f t="shared" si="0"/>
        <v>0.34161255871200186</v>
      </c>
      <c r="H14">
        <f t="shared" si="1"/>
        <v>3.3825190202340627</v>
      </c>
      <c r="I14">
        <f t="shared" si="2"/>
        <v>-0.19681611146465802</v>
      </c>
      <c r="J14">
        <f t="shared" si="3"/>
        <v>-0.15033162931084057</v>
      </c>
      <c r="K14">
        <f t="shared" si="4"/>
        <v>0.22614645589887022</v>
      </c>
    </row>
    <row r="15" spans="1:11" x14ac:dyDescent="0.25">
      <c r="A15">
        <v>15</v>
      </c>
      <c r="B15">
        <v>2.5644</v>
      </c>
      <c r="C15">
        <v>2409.0111000000002</v>
      </c>
      <c r="D15">
        <v>1.0444</v>
      </c>
      <c r="E15">
        <v>0.75723750004544799</v>
      </c>
      <c r="F15">
        <v>1.82815870037302</v>
      </c>
      <c r="G15">
        <f t="shared" si="0"/>
        <v>0.40898576821169425</v>
      </c>
      <c r="H15">
        <f t="shared" si="1"/>
        <v>3.3818388011015577</v>
      </c>
      <c r="I15">
        <f t="shared" si="2"/>
        <v>1.8866863150906826E-2</v>
      </c>
      <c r="J15">
        <f t="shared" si="3"/>
        <v>-0.12076788696980725</v>
      </c>
      <c r="K15">
        <f t="shared" si="4"/>
        <v>0.26201389364324018</v>
      </c>
    </row>
    <row r="16" spans="1:11" x14ac:dyDescent="0.25">
      <c r="A16">
        <v>16</v>
      </c>
      <c r="B16">
        <v>2.8058000000000001</v>
      </c>
      <c r="C16">
        <v>3266.9926</v>
      </c>
      <c r="D16">
        <v>0.83560000000000001</v>
      </c>
      <c r="E16">
        <v>0.83966110018081896</v>
      </c>
      <c r="F16">
        <v>2.0047818003222302</v>
      </c>
      <c r="G16">
        <f t="shared" si="0"/>
        <v>0.44805671088621207</v>
      </c>
      <c r="H16">
        <f t="shared" si="1"/>
        <v>3.5141481507647532</v>
      </c>
      <c r="I16">
        <f t="shared" si="2"/>
        <v>-7.8001568691729029E-2</v>
      </c>
      <c r="J16">
        <f t="shared" si="3"/>
        <v>-7.5895966342748949E-2</v>
      </c>
      <c r="K16">
        <f t="shared" si="4"/>
        <v>0.30206711108447992</v>
      </c>
    </row>
    <row r="17" spans="1:11" x14ac:dyDescent="0.25">
      <c r="A17">
        <v>17</v>
      </c>
      <c r="B17">
        <v>2.5886999999999998</v>
      </c>
      <c r="C17">
        <v>4001.7959999999998</v>
      </c>
      <c r="D17">
        <v>0.75239999999999996</v>
      </c>
      <c r="E17">
        <v>0.85300270002335299</v>
      </c>
      <c r="F17">
        <v>2.0552598000504001</v>
      </c>
      <c r="G17">
        <f t="shared" si="0"/>
        <v>0.41308172370882884</v>
      </c>
      <c r="H17">
        <f t="shared" si="1"/>
        <v>3.6022549457863358</v>
      </c>
      <c r="I17">
        <f t="shared" si="2"/>
        <v>-0.12355121312165876</v>
      </c>
      <c r="J17">
        <f t="shared" si="3"/>
        <v>-6.9049594150897398E-2</v>
      </c>
      <c r="K17">
        <f t="shared" si="4"/>
        <v>0.31286672771901264</v>
      </c>
    </row>
    <row r="18" spans="1:11" x14ac:dyDescent="0.25">
      <c r="A18">
        <v>18</v>
      </c>
      <c r="B18">
        <v>2.8018999999999998</v>
      </c>
      <c r="C18">
        <v>5699.8347668999304</v>
      </c>
      <c r="D18">
        <v>0.80820000000000003</v>
      </c>
      <c r="E18">
        <v>0.92503829998895504</v>
      </c>
      <c r="F18">
        <v>2.24450890021398</v>
      </c>
      <c r="G18">
        <f t="shared" si="0"/>
        <v>0.44745263122699308</v>
      </c>
      <c r="H18">
        <f t="shared" si="1"/>
        <v>3.7558622660472802</v>
      </c>
      <c r="I18">
        <f t="shared" si="2"/>
        <v>-9.2481153893370735E-2</v>
      </c>
      <c r="J18">
        <f t="shared" si="3"/>
        <v>-3.3840285499332941E-2</v>
      </c>
      <c r="K18">
        <f t="shared" si="4"/>
        <v>0.3511213318611538</v>
      </c>
    </row>
    <row r="19" spans="1:11" x14ac:dyDescent="0.25">
      <c r="A19">
        <v>19</v>
      </c>
      <c r="B19">
        <v>3.0345</v>
      </c>
      <c r="C19">
        <v>6860.9283529000804</v>
      </c>
      <c r="D19">
        <v>0.82379999999999998</v>
      </c>
      <c r="E19">
        <v>0.95268479990772903</v>
      </c>
      <c r="F19">
        <v>2.3681040001101699</v>
      </c>
      <c r="G19">
        <f t="shared" si="0"/>
        <v>0.48208714182648593</v>
      </c>
      <c r="H19">
        <f t="shared" si="1"/>
        <v>3.8363828841125054</v>
      </c>
      <c r="I19">
        <f t="shared" si="2"/>
        <v>-8.4178212379601269E-2</v>
      </c>
      <c r="J19">
        <f t="shared" si="3"/>
        <v>-2.1050763898457017E-2</v>
      </c>
      <c r="K19">
        <f t="shared" si="4"/>
        <v>0.37440077139638739</v>
      </c>
    </row>
    <row r="20" spans="1:11" x14ac:dyDescent="0.25">
      <c r="A20">
        <v>20</v>
      </c>
      <c r="B20">
        <v>3.3835999999999999</v>
      </c>
      <c r="C20">
        <v>7803.3503054000903</v>
      </c>
      <c r="D20">
        <v>0.85919999999999996</v>
      </c>
      <c r="E20">
        <v>1.0217685999814401</v>
      </c>
      <c r="F20">
        <v>2.41539529990404</v>
      </c>
      <c r="G20">
        <f t="shared" si="0"/>
        <v>0.52937901628761841</v>
      </c>
      <c r="H20">
        <f t="shared" si="1"/>
        <v>3.8922811035562344</v>
      </c>
      <c r="I20">
        <f t="shared" si="2"/>
        <v>-6.5905731644519627E-2</v>
      </c>
      <c r="J20">
        <f t="shared" si="3"/>
        <v>9.3525522273099487E-3</v>
      </c>
      <c r="K20">
        <f t="shared" si="4"/>
        <v>0.38298821687556106</v>
      </c>
    </row>
    <row r="23" spans="1:11" x14ac:dyDescent="0.25">
      <c r="J23" t="s">
        <v>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F1C10-2E17-488D-A0AD-547086CFA133}">
  <dimension ref="A1:K20"/>
  <sheetViews>
    <sheetView workbookViewId="0">
      <selection activeCell="M5" sqref="M5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10</v>
      </c>
      <c r="G1" t="s">
        <v>4</v>
      </c>
      <c r="H1" t="s">
        <v>5</v>
      </c>
      <c r="I1" t="s">
        <v>6</v>
      </c>
      <c r="J1" t="s">
        <v>9</v>
      </c>
      <c r="K1" t="s">
        <v>11</v>
      </c>
    </row>
    <row r="2" spans="1:11" x14ac:dyDescent="0.25">
      <c r="A2">
        <v>2</v>
      </c>
      <c r="B2">
        <v>0.5242</v>
      </c>
      <c r="C2">
        <v>1.1196999999999999</v>
      </c>
      <c r="D2">
        <v>0.17069999999999999</v>
      </c>
      <c r="E2">
        <v>0.24673099978826901</v>
      </c>
      <c r="F2">
        <v>0.49976349994540198</v>
      </c>
      <c r="G2">
        <f>LOG(B2)</f>
        <v>-0.28050298338941837</v>
      </c>
      <c r="H2">
        <f>LOG(C2)</f>
        <v>4.9101678208557098E-2</v>
      </c>
      <c r="I2">
        <f>LOG(D2)</f>
        <v>-0.76776647888526639</v>
      </c>
      <c r="J2">
        <f>LOG(E2)</f>
        <v>-0.60777628143370055</v>
      </c>
      <c r="K2">
        <f>LOG(F2)</f>
        <v>-0.30123546559882719</v>
      </c>
    </row>
    <row r="3" spans="1:11" x14ac:dyDescent="0.25">
      <c r="A3">
        <v>3</v>
      </c>
      <c r="B3">
        <v>0.76559999999999995</v>
      </c>
      <c r="C3">
        <v>4.6886999999999999</v>
      </c>
      <c r="D3">
        <v>0.25580000000000003</v>
      </c>
      <c r="E3">
        <v>0.34577620006166399</v>
      </c>
      <c r="F3">
        <v>0.731286600232124</v>
      </c>
      <c r="G3">
        <f t="shared" ref="G3:G20" si="0">LOG(B3)</f>
        <v>-0.11599807523121287</v>
      </c>
      <c r="H3">
        <f t="shared" ref="H3:H20" si="1">LOG(C3)</f>
        <v>0.67105244589460922</v>
      </c>
      <c r="I3">
        <f t="shared" ref="I3:I20" si="2">LOG(D3)</f>
        <v>-0.59209945985736478</v>
      </c>
      <c r="J3">
        <f t="shared" ref="J3:J20" si="3">LOG(E3)</f>
        <v>-0.46120490272665071</v>
      </c>
      <c r="K3">
        <f t="shared" ref="K3:K20" si="4">LOG(F3)</f>
        <v>-0.135912384320267</v>
      </c>
    </row>
    <row r="4" spans="1:11" x14ac:dyDescent="0.25">
      <c r="A4">
        <v>4</v>
      </c>
      <c r="B4">
        <v>1.0414000000000001</v>
      </c>
      <c r="C4">
        <v>13.832800000000001</v>
      </c>
      <c r="D4">
        <v>0.34739999999999999</v>
      </c>
      <c r="E4">
        <v>0.45446829986758502</v>
      </c>
      <c r="F4">
        <v>0.94773740042000998</v>
      </c>
      <c r="G4">
        <f t="shared" si="0"/>
        <v>1.7617573339673596E-2</v>
      </c>
      <c r="H4">
        <f t="shared" si="1"/>
        <v>1.1409100977860087</v>
      </c>
      <c r="I4">
        <f t="shared" si="2"/>
        <v>-0.45917018588892017</v>
      </c>
      <c r="J4">
        <f t="shared" si="3"/>
        <v>-0.34249640435118378</v>
      </c>
      <c r="K4">
        <f t="shared" si="4"/>
        <v>-2.3311980538496129E-2</v>
      </c>
    </row>
    <row r="5" spans="1:11" x14ac:dyDescent="0.25">
      <c r="A5">
        <v>5</v>
      </c>
      <c r="B5">
        <v>1.3345</v>
      </c>
      <c r="C5">
        <v>33.666400000000003</v>
      </c>
      <c r="D5">
        <v>0.41699999999999998</v>
      </c>
      <c r="E5">
        <v>0.56685939989984002</v>
      </c>
      <c r="F5">
        <v>1.19329280033707</v>
      </c>
      <c r="G5">
        <f t="shared" si="0"/>
        <v>0.12531857812352648</v>
      </c>
      <c r="H5">
        <f t="shared" si="1"/>
        <v>1.5271966790930642</v>
      </c>
      <c r="I5">
        <f t="shared" si="2"/>
        <v>-0.37986394502624249</v>
      </c>
      <c r="J5">
        <f t="shared" si="3"/>
        <v>-0.24652464731471119</v>
      </c>
      <c r="K5">
        <f t="shared" si="4"/>
        <v>7.6747020341326341E-2</v>
      </c>
    </row>
    <row r="6" spans="1:11" x14ac:dyDescent="0.25">
      <c r="A6">
        <v>6</v>
      </c>
      <c r="B6">
        <v>1.5966</v>
      </c>
      <c r="C6">
        <v>72.194699999999997</v>
      </c>
      <c r="D6">
        <v>0.50370000000000004</v>
      </c>
      <c r="E6">
        <v>0.66382870008237604</v>
      </c>
      <c r="F6">
        <v>1.4482959001325</v>
      </c>
      <c r="G6">
        <f t="shared" si="0"/>
        <v>0.20319612493503247</v>
      </c>
      <c r="H6">
        <f t="shared" si="1"/>
        <v>1.8585053160566041</v>
      </c>
      <c r="I6">
        <f t="shared" si="2"/>
        <v>-0.29782804914228878</v>
      </c>
      <c r="J6">
        <f t="shared" si="3"/>
        <v>-0.17794397516037561</v>
      </c>
      <c r="K6">
        <f t="shared" si="4"/>
        <v>0.1608573012714766</v>
      </c>
    </row>
    <row r="7" spans="1:11" x14ac:dyDescent="0.25">
      <c r="A7">
        <v>7</v>
      </c>
      <c r="B7">
        <v>1.8852</v>
      </c>
      <c r="C7">
        <v>151.7961</v>
      </c>
      <c r="D7">
        <v>0.58930000000000005</v>
      </c>
      <c r="E7">
        <v>0.77235410013236105</v>
      </c>
      <c r="F7">
        <v>1.65297750011086</v>
      </c>
      <c r="G7">
        <f t="shared" si="0"/>
        <v>0.27535743108759814</v>
      </c>
      <c r="H7">
        <f t="shared" si="1"/>
        <v>2.1812606136527593</v>
      </c>
      <c r="I7">
        <f t="shared" si="2"/>
        <v>-0.22966355890485077</v>
      </c>
      <c r="J7">
        <f t="shared" si="3"/>
        <v>-0.11218354360775146</v>
      </c>
      <c r="K7">
        <f t="shared" si="4"/>
        <v>0.21826694211095099</v>
      </c>
    </row>
    <row r="8" spans="1:11" x14ac:dyDescent="0.25">
      <c r="A8">
        <v>8</v>
      </c>
      <c r="B8">
        <v>2.2153</v>
      </c>
      <c r="C8">
        <v>292.39670000000001</v>
      </c>
      <c r="D8">
        <v>0.72140000000000004</v>
      </c>
      <c r="E8">
        <v>0.9346729000099</v>
      </c>
      <c r="F8">
        <v>1.90405380027368</v>
      </c>
      <c r="G8">
        <f t="shared" si="0"/>
        <v>0.34543254749914665</v>
      </c>
      <c r="H8">
        <f t="shared" si="1"/>
        <v>2.4659724668498528</v>
      </c>
      <c r="I8">
        <f t="shared" si="2"/>
        <v>-0.14182386201765568</v>
      </c>
      <c r="J8">
        <f t="shared" si="3"/>
        <v>-2.9340349100993781E-2</v>
      </c>
      <c r="K8">
        <f t="shared" si="4"/>
        <v>0.27967921549377178</v>
      </c>
    </row>
    <row r="9" spans="1:11" x14ac:dyDescent="0.25">
      <c r="A9">
        <v>9</v>
      </c>
      <c r="B9">
        <v>2.5362</v>
      </c>
      <c r="C9">
        <v>482.36649999999997</v>
      </c>
      <c r="D9">
        <v>0.78300000000000003</v>
      </c>
      <c r="E9">
        <v>1.03519709990359</v>
      </c>
      <c r="F9">
        <v>2.1055319001898098</v>
      </c>
      <c r="G9">
        <f t="shared" si="0"/>
        <v>0.40418349821266247</v>
      </c>
      <c r="H9">
        <f t="shared" si="1"/>
        <v>2.6833771387458261</v>
      </c>
      <c r="I9">
        <f t="shared" si="2"/>
        <v>-0.10623823794205658</v>
      </c>
      <c r="J9">
        <f t="shared" si="3"/>
        <v>1.5023046653805916E-2</v>
      </c>
      <c r="K9">
        <f t="shared" si="4"/>
        <v>0.32336182565248733</v>
      </c>
    </row>
    <row r="10" spans="1:11" x14ac:dyDescent="0.25">
      <c r="A10">
        <v>10</v>
      </c>
      <c r="B10">
        <v>2.8161999999999998</v>
      </c>
      <c r="C10">
        <v>700.24310000000003</v>
      </c>
      <c r="D10">
        <v>0.85570000000000002</v>
      </c>
      <c r="E10">
        <v>1.08264300017617</v>
      </c>
      <c r="F10">
        <v>2.3258962999097998</v>
      </c>
      <c r="G10">
        <f t="shared" si="0"/>
        <v>0.44966349415333057</v>
      </c>
      <c r="H10">
        <f t="shared" si="1"/>
        <v>2.8452488381001197</v>
      </c>
      <c r="I10">
        <f t="shared" si="2"/>
        <v>-6.7678468010706816E-2</v>
      </c>
      <c r="J10">
        <f t="shared" si="3"/>
        <v>3.4485272310157057E-2</v>
      </c>
      <c r="K10">
        <f t="shared" si="4"/>
        <v>0.36659034780390626</v>
      </c>
    </row>
    <row r="11" spans="1:11" x14ac:dyDescent="0.25">
      <c r="A11">
        <v>11</v>
      </c>
      <c r="B11">
        <v>3.1326000000000001</v>
      </c>
      <c r="C11">
        <v>1275.1572000000001</v>
      </c>
      <c r="D11">
        <v>0.96150000000000002</v>
      </c>
      <c r="E11">
        <v>1.25342390011064</v>
      </c>
      <c r="F11">
        <v>2.6236959998495801</v>
      </c>
      <c r="G11">
        <f t="shared" si="0"/>
        <v>0.49590494359435922</v>
      </c>
      <c r="H11">
        <f t="shared" si="1"/>
        <v>3.10556372742424</v>
      </c>
      <c r="I11">
        <f t="shared" si="2"/>
        <v>-1.7050711425501325E-2</v>
      </c>
      <c r="J11">
        <f t="shared" si="3"/>
        <v>9.8097971509004067E-2</v>
      </c>
      <c r="K11">
        <f t="shared" si="4"/>
        <v>0.41891351315932263</v>
      </c>
    </row>
    <row r="12" spans="1:11" x14ac:dyDescent="0.25">
      <c r="A12">
        <v>12</v>
      </c>
      <c r="B12">
        <v>3.5352000000000001</v>
      </c>
      <c r="C12">
        <v>1740.0181</v>
      </c>
      <c r="D12">
        <v>1.0361</v>
      </c>
      <c r="E12">
        <v>1.3160284000914499</v>
      </c>
      <c r="F12">
        <v>2.8020028001628798</v>
      </c>
      <c r="G12">
        <f t="shared" si="0"/>
        <v>0.54841398855423695</v>
      </c>
      <c r="H12">
        <f t="shared" si="1"/>
        <v>3.2405537659200929</v>
      </c>
      <c r="I12">
        <f t="shared" si="2"/>
        <v>1.5401673702949125E-2</v>
      </c>
      <c r="J12">
        <f t="shared" si="3"/>
        <v>0.11926526151951455</v>
      </c>
      <c r="K12">
        <f t="shared" si="4"/>
        <v>0.44746856495927739</v>
      </c>
    </row>
    <row r="13" spans="1:11" x14ac:dyDescent="0.25">
      <c r="A13">
        <v>13</v>
      </c>
      <c r="B13">
        <v>3.8248000000000002</v>
      </c>
      <c r="C13">
        <v>2551.3613</v>
      </c>
      <c r="D13">
        <v>1.1577999999999999</v>
      </c>
      <c r="E13">
        <v>1.4285178000573</v>
      </c>
      <c r="F13">
        <v>3.0549849001690701</v>
      </c>
      <c r="G13">
        <f t="shared" si="0"/>
        <v>0.582608730687733</v>
      </c>
      <c r="H13">
        <f t="shared" si="1"/>
        <v>3.406771963700217</v>
      </c>
      <c r="I13">
        <f t="shared" si="2"/>
        <v>6.3633545230784669E-2</v>
      </c>
      <c r="J13">
        <f t="shared" si="3"/>
        <v>0.15488565628228998</v>
      </c>
      <c r="K13">
        <f t="shared" si="4"/>
        <v>0.48500906800264604</v>
      </c>
    </row>
    <row r="14" spans="1:11" x14ac:dyDescent="0.25">
      <c r="A14">
        <v>14</v>
      </c>
      <c r="B14">
        <v>4.2390999999999996</v>
      </c>
      <c r="C14">
        <v>3370.7561000000001</v>
      </c>
      <c r="D14">
        <v>1.2376</v>
      </c>
      <c r="E14">
        <v>1.50050369999371</v>
      </c>
      <c r="F14">
        <v>3.2932543996721502</v>
      </c>
      <c r="G14">
        <f t="shared" si="0"/>
        <v>0.62727366165808607</v>
      </c>
      <c r="H14">
        <f t="shared" si="1"/>
        <v>3.5277273291284281</v>
      </c>
      <c r="I14">
        <f t="shared" si="2"/>
        <v>9.2580300691311124E-2</v>
      </c>
      <c r="J14">
        <f t="shared" si="3"/>
        <v>0.17623707066048502</v>
      </c>
      <c r="K14">
        <f t="shared" si="4"/>
        <v>0.51762528069864178</v>
      </c>
    </row>
    <row r="15" spans="1:11" x14ac:dyDescent="0.25">
      <c r="A15">
        <v>15</v>
      </c>
      <c r="B15">
        <v>4.5629999999999997</v>
      </c>
      <c r="C15">
        <v>4842.2988999999998</v>
      </c>
      <c r="D15">
        <v>1.2986</v>
      </c>
      <c r="E15">
        <v>1.6809717998839899</v>
      </c>
      <c r="F15">
        <v>3.5980455996468601</v>
      </c>
      <c r="G15">
        <f t="shared" si="0"/>
        <v>0.6592504687726608</v>
      </c>
      <c r="H15">
        <f t="shared" si="1"/>
        <v>3.6850515935762131</v>
      </c>
      <c r="I15">
        <f t="shared" si="2"/>
        <v>0.11347539853673715</v>
      </c>
      <c r="J15">
        <f t="shared" si="3"/>
        <v>0.22556042774196874</v>
      </c>
      <c r="K15">
        <f t="shared" si="4"/>
        <v>0.55606666305331165</v>
      </c>
    </row>
    <row r="16" spans="1:11" x14ac:dyDescent="0.25">
      <c r="A16">
        <v>16</v>
      </c>
      <c r="B16">
        <v>4.8201999999999998</v>
      </c>
      <c r="C16">
        <v>8427.7610959999693</v>
      </c>
      <c r="D16">
        <v>1.4140999999999999</v>
      </c>
      <c r="E16">
        <v>1.73551960010081</v>
      </c>
      <c r="F16">
        <v>4.0272686001844704</v>
      </c>
      <c r="G16">
        <f t="shared" si="0"/>
        <v>0.68306505838291154</v>
      </c>
      <c r="H16">
        <f t="shared" si="1"/>
        <v>3.925712216048606</v>
      </c>
      <c r="I16">
        <f t="shared" si="2"/>
        <v>0.15048012227033458</v>
      </c>
      <c r="J16">
        <f t="shared" si="3"/>
        <v>0.23942952274241205</v>
      </c>
      <c r="K16">
        <f t="shared" si="4"/>
        <v>0.60501059600619167</v>
      </c>
    </row>
    <row r="17" spans="1:11" x14ac:dyDescent="0.25">
      <c r="A17">
        <v>17</v>
      </c>
      <c r="B17">
        <v>5.2755000000000001</v>
      </c>
      <c r="C17">
        <v>11210.669748299901</v>
      </c>
      <c r="D17">
        <v>1.5068999999999999</v>
      </c>
      <c r="E17">
        <v>1.8310300000011901</v>
      </c>
      <c r="F17">
        <v>4.0001706001348696</v>
      </c>
      <c r="G17">
        <f t="shared" si="0"/>
        <v>0.72226362737262384</v>
      </c>
      <c r="H17">
        <f t="shared" si="1"/>
        <v>4.0496315590090868</v>
      </c>
      <c r="I17">
        <f t="shared" si="2"/>
        <v>0.17808443287921172</v>
      </c>
      <c r="J17">
        <f t="shared" si="3"/>
        <v>0.26269545993699944</v>
      </c>
      <c r="K17">
        <f t="shared" si="4"/>
        <v>0.60207851360727371</v>
      </c>
    </row>
    <row r="18" spans="1:11" x14ac:dyDescent="0.25">
      <c r="A18">
        <v>18</v>
      </c>
      <c r="B18">
        <v>5.6651999999999996</v>
      </c>
      <c r="C18">
        <v>14625.7355764</v>
      </c>
      <c r="D18">
        <v>1.5782</v>
      </c>
      <c r="E18">
        <v>1.9423700999468501</v>
      </c>
      <c r="F18">
        <v>4.2690401999279803</v>
      </c>
      <c r="G18">
        <f t="shared" si="0"/>
        <v>0.75321524647887972</v>
      </c>
      <c r="H18">
        <f t="shared" si="1"/>
        <v>4.1651177174029792</v>
      </c>
      <c r="I18">
        <f t="shared" si="2"/>
        <v>0.19816203904607557</v>
      </c>
      <c r="J18">
        <f t="shared" si="3"/>
        <v>0.28833198409448535</v>
      </c>
      <c r="K18">
        <f t="shared" si="4"/>
        <v>0.63033024440916907</v>
      </c>
    </row>
    <row r="19" spans="1:11" x14ac:dyDescent="0.25">
      <c r="A19">
        <v>19</v>
      </c>
      <c r="B19">
        <v>6.0277000000000003</v>
      </c>
      <c r="C19">
        <v>16407.207656699899</v>
      </c>
      <c r="D19">
        <v>1.6807000000000001</v>
      </c>
      <c r="E19">
        <v>2.0479162000119602</v>
      </c>
      <c r="F19">
        <v>4.8560500000603497</v>
      </c>
      <c r="G19">
        <f t="shared" si="0"/>
        <v>0.78015162924532189</v>
      </c>
      <c r="H19">
        <f t="shared" si="1"/>
        <v>4.2150346747474483</v>
      </c>
      <c r="I19">
        <f t="shared" si="2"/>
        <v>0.22549020007128417</v>
      </c>
      <c r="J19">
        <f t="shared" si="3"/>
        <v>0.31131218149471546</v>
      </c>
      <c r="K19">
        <f t="shared" si="4"/>
        <v>0.68628314978023908</v>
      </c>
    </row>
    <row r="20" spans="1:11" x14ac:dyDescent="0.25">
      <c r="A20">
        <v>20</v>
      </c>
      <c r="B20">
        <v>6.3319999999999999</v>
      </c>
      <c r="C20">
        <v>17768.265146199901</v>
      </c>
      <c r="D20">
        <v>1.7574000000000001</v>
      </c>
      <c r="E20">
        <v>2.2034616000019001</v>
      </c>
      <c r="F20">
        <v>4.8451324999332401</v>
      </c>
      <c r="G20">
        <f t="shared" si="0"/>
        <v>0.80154090619031826</v>
      </c>
      <c r="H20">
        <f t="shared" si="1"/>
        <v>4.249645026330171</v>
      </c>
      <c r="I20">
        <f t="shared" si="2"/>
        <v>0.24487062206524232</v>
      </c>
      <c r="J20">
        <f t="shared" si="3"/>
        <v>0.34310548640818223</v>
      </c>
      <c r="K20">
        <f t="shared" si="4"/>
        <v>0.68530565820887357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72AD7-F6D4-4637-9701-4544D1141569}">
  <dimension ref="A1:K20"/>
  <sheetViews>
    <sheetView workbookViewId="0">
      <selection activeCell="L8" sqref="L8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10</v>
      </c>
      <c r="G1" t="s">
        <v>4</v>
      </c>
      <c r="H1" t="s">
        <v>5</v>
      </c>
      <c r="I1" t="s">
        <v>6</v>
      </c>
      <c r="J1" t="s">
        <v>9</v>
      </c>
      <c r="K1" t="s">
        <v>11</v>
      </c>
    </row>
    <row r="2" spans="1:11" x14ac:dyDescent="0.25">
      <c r="A2">
        <v>2</v>
      </c>
      <c r="B2">
        <v>1.5105</v>
      </c>
      <c r="C2">
        <v>2.2944614000152699</v>
      </c>
      <c r="D2">
        <v>0.40920000000000001</v>
      </c>
      <c r="E2">
        <v>0.46944170002825503</v>
      </c>
      <c r="F2">
        <v>0.99402560014277697</v>
      </c>
      <c r="G2">
        <f>LOG(B2)</f>
        <v>0.17912072960929923</v>
      </c>
      <c r="H2">
        <f>LOG(C2)</f>
        <v>0.36068075590673898</v>
      </c>
      <c r="I2">
        <f>LOG(D2)</f>
        <v>-0.38806437495987745</v>
      </c>
      <c r="J2">
        <f>LOG(E2)</f>
        <v>-0.32841833508725149</v>
      </c>
      <c r="K2">
        <f>LOG(F2)</f>
        <v>-2.6024306353061998E-3</v>
      </c>
    </row>
    <row r="3" spans="1:11" x14ac:dyDescent="0.25">
      <c r="A3">
        <v>3</v>
      </c>
      <c r="B3">
        <v>1.8488</v>
      </c>
      <c r="C3">
        <v>9.6298008000012398</v>
      </c>
      <c r="D3">
        <v>0.59189999999999998</v>
      </c>
      <c r="E3">
        <v>0.65740110003389396</v>
      </c>
      <c r="F3">
        <v>1.4845543000847099</v>
      </c>
      <c r="G3">
        <f t="shared" ref="G3:G20" si="0">LOG(B3)</f>
        <v>0.26688993247105292</v>
      </c>
      <c r="H3">
        <f t="shared" ref="H3:H20" si="1">LOG(C3)</f>
        <v>0.98361730349472876</v>
      </c>
      <c r="I3">
        <f t="shared" ref="I3:I20" si="2">LOG(D3)</f>
        <v>-0.2277516600281464</v>
      </c>
      <c r="J3">
        <f t="shared" ref="J3:J20" si="3">LOG(E3)</f>
        <v>-0.18216957354576901</v>
      </c>
      <c r="K3">
        <f t="shared" ref="K3:K20" si="4">LOG(F3)</f>
        <v>0.17159608727788439</v>
      </c>
    </row>
    <row r="4" spans="1:11" x14ac:dyDescent="0.25">
      <c r="A4">
        <v>4</v>
      </c>
      <c r="B4">
        <v>2.5621</v>
      </c>
      <c r="C4">
        <v>28.901462099980499</v>
      </c>
      <c r="D4">
        <v>0.81850000000000001</v>
      </c>
      <c r="E4">
        <v>0.85890360013581801</v>
      </c>
      <c r="F4">
        <v>2.19663840020075</v>
      </c>
      <c r="G4">
        <f t="shared" si="0"/>
        <v>0.40859607646278268</v>
      </c>
      <c r="H4">
        <f t="shared" si="1"/>
        <v>1.4609198138946675</v>
      </c>
      <c r="I4">
        <f t="shared" si="2"/>
        <v>-8.6981316252039753E-2</v>
      </c>
      <c r="J4">
        <f t="shared" si="3"/>
        <v>-6.605557688868062E-2</v>
      </c>
      <c r="K4">
        <f t="shared" si="4"/>
        <v>0.34175857138459592</v>
      </c>
    </row>
    <row r="5" spans="1:11" x14ac:dyDescent="0.25">
      <c r="A5">
        <v>5</v>
      </c>
      <c r="B5">
        <v>3.3935</v>
      </c>
      <c r="C5">
        <v>72.653749699995302</v>
      </c>
      <c r="D5">
        <v>0.9778</v>
      </c>
      <c r="E5">
        <v>1.0885540000163001</v>
      </c>
      <c r="F5">
        <v>2.52803739998489</v>
      </c>
      <c r="G5">
        <f t="shared" si="0"/>
        <v>0.53064785352748556</v>
      </c>
      <c r="H5">
        <f t="shared" si="1"/>
        <v>1.8612580333896194</v>
      </c>
      <c r="I5">
        <f t="shared" si="2"/>
        <v>-9.7499670721832143E-3</v>
      </c>
      <c r="J5">
        <f t="shared" si="3"/>
        <v>3.684997800495099E-2</v>
      </c>
      <c r="K5">
        <f t="shared" si="4"/>
        <v>0.40278349464472762</v>
      </c>
    </row>
    <row r="6" spans="1:11" x14ac:dyDescent="0.25">
      <c r="A6">
        <v>6</v>
      </c>
      <c r="B6">
        <v>6.0015999999999998</v>
      </c>
      <c r="C6">
        <v>150.26321709999999</v>
      </c>
      <c r="D6">
        <v>2.0078</v>
      </c>
      <c r="E6">
        <v>1.32309199986048</v>
      </c>
      <c r="F6">
        <v>2.9878191002644598</v>
      </c>
      <c r="G6">
        <f t="shared" si="0"/>
        <v>0.77826704680664749</v>
      </c>
      <c r="H6">
        <f t="shared" si="1"/>
        <v>2.1768526827455936</v>
      </c>
      <c r="I6">
        <f t="shared" si="2"/>
        <v>0.30272044989613406</v>
      </c>
      <c r="J6">
        <f t="shared" si="3"/>
        <v>0.12159004346383795</v>
      </c>
      <c r="K6">
        <f t="shared" si="4"/>
        <v>0.4753542992560702</v>
      </c>
    </row>
    <row r="7" spans="1:11" x14ac:dyDescent="0.25">
      <c r="A7">
        <v>7</v>
      </c>
      <c r="B7">
        <v>6.9962</v>
      </c>
      <c r="C7">
        <v>291.31261270004302</v>
      </c>
      <c r="D7">
        <v>2.0775999999999999</v>
      </c>
      <c r="E7">
        <v>1.47317500016652</v>
      </c>
      <c r="F7">
        <v>3.4156431001611001</v>
      </c>
      <c r="G7">
        <f t="shared" si="0"/>
        <v>0.84486221613752133</v>
      </c>
      <c r="H7">
        <f t="shared" si="1"/>
        <v>2.464359288292099</v>
      </c>
      <c r="I7">
        <f t="shared" si="2"/>
        <v>0.31756193662124627</v>
      </c>
      <c r="J7">
        <f t="shared" si="3"/>
        <v>0.16825434025221242</v>
      </c>
      <c r="K7">
        <f t="shared" si="4"/>
        <v>0.53347248504732925</v>
      </c>
    </row>
    <row r="8" spans="1:11" x14ac:dyDescent="0.25">
      <c r="A8">
        <v>8</v>
      </c>
      <c r="B8">
        <v>8.2950999999999997</v>
      </c>
      <c r="C8">
        <v>508.160405799979</v>
      </c>
      <c r="D8">
        <v>2.4805999999999999</v>
      </c>
      <c r="E8">
        <v>1.6726972998585501</v>
      </c>
      <c r="F8">
        <v>4.2950787995941901</v>
      </c>
      <c r="G8">
        <f t="shared" si="0"/>
        <v>0.91882162594644479</v>
      </c>
      <c r="H8">
        <f t="shared" si="1"/>
        <v>2.7060008232242336</v>
      </c>
      <c r="I8">
        <f t="shared" si="2"/>
        <v>0.39455673936365637</v>
      </c>
      <c r="J8">
        <f t="shared" si="3"/>
        <v>0.22341735584863226</v>
      </c>
      <c r="K8">
        <f t="shared" si="4"/>
        <v>0.63297113601708699</v>
      </c>
    </row>
    <row r="9" spans="1:11" x14ac:dyDescent="0.25">
      <c r="A9">
        <v>9</v>
      </c>
      <c r="B9">
        <v>9.1770999999999994</v>
      </c>
      <c r="C9">
        <v>846.11001630005103</v>
      </c>
      <c r="D9">
        <v>2.7888999999999999</v>
      </c>
      <c r="E9">
        <v>1.9071633999701501</v>
      </c>
      <c r="F9">
        <v>4.5056292996741796</v>
      </c>
      <c r="G9">
        <f t="shared" si="0"/>
        <v>0.96270546410180979</v>
      </c>
      <c r="H9">
        <f t="shared" si="1"/>
        <v>2.9274268362844258</v>
      </c>
      <c r="I9">
        <f t="shared" si="2"/>
        <v>0.44543294229516656</v>
      </c>
      <c r="J9">
        <f t="shared" si="3"/>
        <v>0.28038790367280952</v>
      </c>
      <c r="K9">
        <f t="shared" si="4"/>
        <v>0.65375545731044626</v>
      </c>
    </row>
    <row r="10" spans="1:11" x14ac:dyDescent="0.25">
      <c r="A10">
        <v>10</v>
      </c>
      <c r="B10">
        <v>10.567299999999999</v>
      </c>
      <c r="C10">
        <v>1335.49256179999</v>
      </c>
      <c r="D10">
        <v>3.2602000000000002</v>
      </c>
      <c r="E10">
        <v>2.0516566000878802</v>
      </c>
      <c r="F10">
        <v>5.0702437995932996</v>
      </c>
      <c r="G10">
        <f t="shared" si="0"/>
        <v>1.0239640369866647</v>
      </c>
      <c r="H10">
        <f t="shared" si="1"/>
        <v>3.1256414735043663</v>
      </c>
      <c r="I10">
        <f t="shared" si="2"/>
        <v>0.51324424308392258</v>
      </c>
      <c r="J10">
        <f t="shared" si="3"/>
        <v>0.31210467166042133</v>
      </c>
      <c r="K10">
        <f t="shared" si="4"/>
        <v>0.70502884262178012</v>
      </c>
    </row>
    <row r="11" spans="1:11" x14ac:dyDescent="0.25">
      <c r="A11">
        <v>11</v>
      </c>
      <c r="B11">
        <v>11.6905</v>
      </c>
      <c r="C11">
        <v>2003.8478</v>
      </c>
      <c r="D11">
        <v>3.6480999999999999</v>
      </c>
      <c r="E11">
        <v>2.2721259999088899</v>
      </c>
      <c r="F11">
        <v>5.4833542997948799</v>
      </c>
      <c r="G11">
        <f t="shared" si="0"/>
        <v>1.0678330862343137</v>
      </c>
      <c r="H11">
        <f t="shared" si="1"/>
        <v>3.3018647321002264</v>
      </c>
      <c r="I11">
        <f t="shared" si="2"/>
        <v>0.56206673449545508</v>
      </c>
      <c r="J11">
        <f t="shared" si="3"/>
        <v>0.35643241134701598</v>
      </c>
      <c r="K11">
        <f t="shared" si="4"/>
        <v>0.73904630816228445</v>
      </c>
    </row>
    <row r="12" spans="1:11" x14ac:dyDescent="0.25">
      <c r="A12">
        <v>12</v>
      </c>
      <c r="B12">
        <v>13.335800000000001</v>
      </c>
      <c r="C12">
        <v>2959.2066</v>
      </c>
      <c r="D12">
        <v>3.9548999999999999</v>
      </c>
      <c r="E12">
        <v>2.45329059986397</v>
      </c>
      <c r="F12">
        <v>5.8718268000520704</v>
      </c>
      <c r="G12">
        <f t="shared" si="0"/>
        <v>1.1250190736565042</v>
      </c>
      <c r="H12">
        <f t="shared" si="1"/>
        <v>3.4711752869273647</v>
      </c>
      <c r="I12">
        <f t="shared" si="2"/>
        <v>0.59713550679772964</v>
      </c>
      <c r="J12">
        <f t="shared" si="3"/>
        <v>0.38974899477887986</v>
      </c>
      <c r="K12">
        <f t="shared" si="4"/>
        <v>0.76877323681077103</v>
      </c>
    </row>
    <row r="13" spans="1:11" x14ac:dyDescent="0.25">
      <c r="A13">
        <v>13</v>
      </c>
      <c r="B13">
        <v>16.0169</v>
      </c>
      <c r="C13">
        <v>4235.2788</v>
      </c>
      <c r="D13">
        <v>4.2637999999999998</v>
      </c>
      <c r="E13">
        <v>2.7053419000003398</v>
      </c>
      <c r="F13">
        <v>6.3040275000966997</v>
      </c>
      <c r="G13">
        <f t="shared" si="0"/>
        <v>1.2045784641095207</v>
      </c>
      <c r="H13">
        <f t="shared" si="1"/>
        <v>3.6268820043517778</v>
      </c>
      <c r="I13">
        <f t="shared" si="2"/>
        <v>0.62979682525550629</v>
      </c>
      <c r="J13">
        <f t="shared" si="3"/>
        <v>0.43222215886970855</v>
      </c>
      <c r="K13">
        <f t="shared" si="4"/>
        <v>0.79961809901103553</v>
      </c>
    </row>
    <row r="14" spans="1:11" x14ac:dyDescent="0.25">
      <c r="A14">
        <v>14</v>
      </c>
      <c r="B14">
        <v>16.102699999999999</v>
      </c>
      <c r="C14">
        <v>5880.0618999999997</v>
      </c>
      <c r="D14">
        <v>4.7336999999999998</v>
      </c>
      <c r="E14">
        <v>2.8664176999591202</v>
      </c>
      <c r="F14">
        <v>6.7050183000974304</v>
      </c>
      <c r="G14">
        <f t="shared" si="0"/>
        <v>1.2068987019193613</v>
      </c>
      <c r="H14">
        <f t="shared" si="1"/>
        <v>3.7693818979616709</v>
      </c>
      <c r="I14">
        <f t="shared" si="2"/>
        <v>0.67520073089069388</v>
      </c>
      <c r="J14">
        <f t="shared" si="3"/>
        <v>0.45733947690897603</v>
      </c>
      <c r="K14">
        <f t="shared" si="4"/>
        <v>0.82639996751505795</v>
      </c>
    </row>
    <row r="15" spans="1:11" x14ac:dyDescent="0.25">
      <c r="A15">
        <v>15</v>
      </c>
      <c r="B15">
        <v>17.225999999999999</v>
      </c>
      <c r="C15">
        <v>8028.2340000000004</v>
      </c>
      <c r="D15">
        <v>5.0602999999999998</v>
      </c>
      <c r="E15">
        <v>3.1203801999799898</v>
      </c>
      <c r="F15">
        <v>7.1360778999514798</v>
      </c>
      <c r="G15">
        <f t="shared" si="0"/>
        <v>1.2361844428801496</v>
      </c>
      <c r="H15">
        <f t="shared" si="1"/>
        <v>3.9046200224387309</v>
      </c>
      <c r="I15">
        <f t="shared" si="2"/>
        <v>0.70417626476122619</v>
      </c>
      <c r="J15">
        <f t="shared" si="3"/>
        <v>0.49420751347150244</v>
      </c>
      <c r="K15">
        <f t="shared" si="4"/>
        <v>0.85345958230618457</v>
      </c>
    </row>
    <row r="16" spans="1:11" x14ac:dyDescent="0.25">
      <c r="A16">
        <v>16</v>
      </c>
      <c r="B16">
        <v>18.166499999999999</v>
      </c>
      <c r="C16">
        <v>10799.932199999999</v>
      </c>
      <c r="D16">
        <v>5.3571</v>
      </c>
      <c r="E16">
        <v>3.2872317000292202</v>
      </c>
      <c r="F16">
        <v>7.6895254002884004</v>
      </c>
      <c r="G16">
        <f t="shared" si="0"/>
        <v>1.259271263185658</v>
      </c>
      <c r="H16">
        <f t="shared" si="1"/>
        <v>4.0334210290741446</v>
      </c>
      <c r="I16">
        <f t="shared" si="2"/>
        <v>0.72892975334370924</v>
      </c>
      <c r="J16">
        <f t="shared" si="3"/>
        <v>0.51683031634136212</v>
      </c>
      <c r="K16">
        <f t="shared" si="4"/>
        <v>0.88589953584870018</v>
      </c>
    </row>
    <row r="17" spans="1:11" x14ac:dyDescent="0.25">
      <c r="A17">
        <v>17</v>
      </c>
      <c r="B17">
        <v>20.008500000000002</v>
      </c>
      <c r="C17">
        <v>15248.0072434999</v>
      </c>
      <c r="D17">
        <v>5.5542999999999996</v>
      </c>
      <c r="E17">
        <v>3.4518727001268399</v>
      </c>
      <c r="F17">
        <v>8.1184688000939698</v>
      </c>
      <c r="G17">
        <f t="shared" si="0"/>
        <v>1.3012145316076791</v>
      </c>
      <c r="H17">
        <f t="shared" si="1"/>
        <v>4.1832130896040161</v>
      </c>
      <c r="I17">
        <f t="shared" si="2"/>
        <v>0.74462933325109992</v>
      </c>
      <c r="J17">
        <f t="shared" si="3"/>
        <v>0.53805477121122725</v>
      </c>
      <c r="K17">
        <f t="shared" si="4"/>
        <v>0.90947412599277955</v>
      </c>
    </row>
    <row r="18" spans="1:11" x14ac:dyDescent="0.25">
      <c r="A18">
        <v>18</v>
      </c>
      <c r="B18">
        <v>21.1617</v>
      </c>
      <c r="C18">
        <v>18854.3850017</v>
      </c>
      <c r="D18">
        <v>5.9537000000000004</v>
      </c>
      <c r="E18">
        <v>3.6788558999542098</v>
      </c>
      <c r="F18">
        <v>8.6261518001556396</v>
      </c>
      <c r="G18">
        <f t="shared" si="0"/>
        <v>1.3255505532952461</v>
      </c>
      <c r="H18">
        <f t="shared" si="1"/>
        <v>4.2754123710177439</v>
      </c>
      <c r="I18">
        <f t="shared" si="2"/>
        <v>0.774786947269548</v>
      </c>
      <c r="J18">
        <f t="shared" si="3"/>
        <v>0.56571277693676114</v>
      </c>
      <c r="K18">
        <f t="shared" si="4"/>
        <v>0.93581709644729338</v>
      </c>
    </row>
    <row r="19" spans="1:11" x14ac:dyDescent="0.25">
      <c r="A19">
        <v>19</v>
      </c>
      <c r="B19">
        <v>22.4955</v>
      </c>
      <c r="C19">
        <v>25132.581562399901</v>
      </c>
      <c r="D19">
        <v>6.1835000000000004</v>
      </c>
      <c r="E19">
        <v>3.9061102999839901</v>
      </c>
      <c r="F19">
        <v>9.1053801001980901</v>
      </c>
      <c r="G19">
        <f t="shared" si="0"/>
        <v>1.3520956505279338</v>
      </c>
      <c r="H19">
        <f t="shared" si="1"/>
        <v>4.4002371006387984</v>
      </c>
      <c r="I19">
        <f t="shared" si="2"/>
        <v>0.79123436512436673</v>
      </c>
      <c r="J19">
        <f t="shared" si="3"/>
        <v>0.59174450264821588</v>
      </c>
      <c r="K19">
        <f t="shared" si="4"/>
        <v>0.95929807994675997</v>
      </c>
    </row>
    <row r="20" spans="1:11" x14ac:dyDescent="0.25">
      <c r="A20">
        <v>20</v>
      </c>
      <c r="B20">
        <v>20.399100000000001</v>
      </c>
      <c r="C20">
        <v>36949.504200000003</v>
      </c>
      <c r="D20">
        <v>6.6779000000000002</v>
      </c>
      <c r="E20">
        <v>4.0497413000557501</v>
      </c>
      <c r="F20">
        <v>10.0863402998074</v>
      </c>
      <c r="G20">
        <f t="shared" si="0"/>
        <v>1.3096110069525659</v>
      </c>
      <c r="H20">
        <f t="shared" si="1"/>
        <v>4.5676086152707969</v>
      </c>
      <c r="I20">
        <f t="shared" si="2"/>
        <v>0.82463991130814507</v>
      </c>
      <c r="J20">
        <f t="shared" si="3"/>
        <v>0.60742728110436339</v>
      </c>
      <c r="K20">
        <f t="shared" si="4"/>
        <v>1.0037336165928343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6573E-7BAB-4227-B8C0-A0CB74EB2C86}">
  <dimension ref="A1:G20"/>
  <sheetViews>
    <sheetView workbookViewId="0">
      <selection activeCell="AC17" sqref="AC1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</v>
      </c>
      <c r="B2">
        <v>1.7822</v>
      </c>
      <c r="C2">
        <v>3.2683871999615799</v>
      </c>
      <c r="D2">
        <v>0.55459999999999998</v>
      </c>
      <c r="E2">
        <f>LOG(B2)</f>
        <v>0.25095643933189343</v>
      </c>
      <c r="F2">
        <f t="shared" ref="F2:G19" si="0">LOG(C2)</f>
        <v>0.51433350099549968</v>
      </c>
      <c r="G2">
        <f t="shared" si="0"/>
        <v>-0.25602013475815716</v>
      </c>
    </row>
    <row r="3" spans="1:7" x14ac:dyDescent="0.25">
      <c r="A3">
        <v>3</v>
      </c>
      <c r="B3">
        <v>2.6629</v>
      </c>
      <c r="C3">
        <v>14.0673462999984</v>
      </c>
      <c r="D3">
        <v>0.88100000000000001</v>
      </c>
      <c r="E3">
        <f>LOG(B3)</f>
        <v>0.42535485766551501</v>
      </c>
      <c r="F3">
        <f t="shared" si="0"/>
        <v>1.1482121787450121</v>
      </c>
      <c r="G3">
        <f t="shared" si="0"/>
        <v>-5.5024091587952087E-2</v>
      </c>
    </row>
    <row r="4" spans="1:7" x14ac:dyDescent="0.25">
      <c r="A4">
        <v>4</v>
      </c>
      <c r="B4">
        <v>4.9646999999999997</v>
      </c>
      <c r="C4">
        <v>42.389447199995601</v>
      </c>
      <c r="D4">
        <v>1.179</v>
      </c>
      <c r="E4">
        <f t="shared" ref="E4:E10" si="1">LOG(B4)</f>
        <v>0.69589301068015452</v>
      </c>
      <c r="F4">
        <f t="shared" si="0"/>
        <v>1.6272577529787677</v>
      </c>
      <c r="G4">
        <f t="shared" si="0"/>
        <v>7.1513805095089159E-2</v>
      </c>
    </row>
    <row r="5" spans="1:7" x14ac:dyDescent="0.25">
      <c r="A5">
        <v>5</v>
      </c>
      <c r="B5">
        <v>6.8190999999999997</v>
      </c>
      <c r="C5">
        <v>102.663350499933</v>
      </c>
      <c r="D5">
        <v>2.1734</v>
      </c>
      <c r="E5">
        <f t="shared" si="1"/>
        <v>0.83372705928606883</v>
      </c>
      <c r="F5">
        <f t="shared" si="0"/>
        <v>2.0114154337011714</v>
      </c>
      <c r="G5">
        <f t="shared" si="0"/>
        <v>0.33713966272456086</v>
      </c>
    </row>
    <row r="6" spans="1:7" x14ac:dyDescent="0.25">
      <c r="A6">
        <v>6</v>
      </c>
      <c r="B6">
        <v>8.7217000000000002</v>
      </c>
      <c r="C6">
        <v>214.69106890005</v>
      </c>
      <c r="D6">
        <v>2.6958000000000002</v>
      </c>
      <c r="E6">
        <f t="shared" si="1"/>
        <v>0.94060114418270613</v>
      </c>
      <c r="F6">
        <f t="shared" si="0"/>
        <v>2.3318139782597158</v>
      </c>
      <c r="G6">
        <f t="shared" si="0"/>
        <v>0.43068766897666905</v>
      </c>
    </row>
    <row r="7" spans="1:7" x14ac:dyDescent="0.25">
      <c r="A7">
        <v>7</v>
      </c>
      <c r="B7">
        <v>10.9612</v>
      </c>
      <c r="C7">
        <v>417.10484229994398</v>
      </c>
      <c r="D7">
        <v>3.1991000000000001</v>
      </c>
      <c r="E7">
        <f t="shared" si="1"/>
        <v>1.0398581020361306</v>
      </c>
      <c r="F7">
        <f t="shared" si="0"/>
        <v>2.6202452317349185</v>
      </c>
      <c r="G7">
        <f t="shared" si="0"/>
        <v>0.50502781581696332</v>
      </c>
    </row>
    <row r="8" spans="1:7" x14ac:dyDescent="0.25">
      <c r="A8">
        <v>8</v>
      </c>
      <c r="B8">
        <v>12.235900000000001</v>
      </c>
      <c r="C8">
        <v>907.83983630000102</v>
      </c>
      <c r="D8">
        <v>4.0099</v>
      </c>
      <c r="E8">
        <f t="shared" si="1"/>
        <v>1.0876359189806979</v>
      </c>
      <c r="F8">
        <f>LOG(C8)</f>
        <v>2.958009235804588</v>
      </c>
      <c r="G8">
        <f t="shared" si="0"/>
        <v>0.60313354219880733</v>
      </c>
    </row>
    <row r="9" spans="1:7" x14ac:dyDescent="0.25">
      <c r="A9">
        <v>9</v>
      </c>
      <c r="B9">
        <v>14.3568</v>
      </c>
      <c r="C9">
        <v>1470.0403441999799</v>
      </c>
      <c r="D9">
        <v>4.4047000000000001</v>
      </c>
      <c r="E9">
        <f t="shared" si="1"/>
        <v>1.1570576504069054</v>
      </c>
      <c r="F9">
        <f t="shared" si="0"/>
        <v>3.167329253811439</v>
      </c>
      <c r="G9">
        <f t="shared" si="0"/>
        <v>0.64391633436409879</v>
      </c>
    </row>
    <row r="10" spans="1:7" x14ac:dyDescent="0.25">
      <c r="A10">
        <v>10</v>
      </c>
      <c r="B10">
        <v>15.908300000000001</v>
      </c>
      <c r="C10">
        <v>2354.9011060000598</v>
      </c>
      <c r="D10">
        <v>4.7712000000000003</v>
      </c>
      <c r="E10">
        <f t="shared" si="1"/>
        <v>1.2016237723514125</v>
      </c>
      <c r="F10">
        <f t="shared" si="0"/>
        <v>3.3719726736643723</v>
      </c>
      <c r="G10">
        <f t="shared" si="0"/>
        <v>0.67862762177290059</v>
      </c>
    </row>
    <row r="11" spans="1:7" x14ac:dyDescent="0.25">
      <c r="A11">
        <v>11</v>
      </c>
      <c r="B11">
        <v>17.8904</v>
      </c>
      <c r="C11">
        <v>3249.1372250999498</v>
      </c>
      <c r="D11">
        <v>5.3704999999999998</v>
      </c>
      <c r="E11">
        <f>LOG(B11)</f>
        <v>1.2526200507882073</v>
      </c>
      <c r="F11">
        <f t="shared" si="0"/>
        <v>3.5117680538642713</v>
      </c>
      <c r="G11">
        <f t="shared" si="0"/>
        <v>0.73001472091972386</v>
      </c>
    </row>
    <row r="12" spans="1:7" x14ac:dyDescent="0.25">
      <c r="A12">
        <v>12</v>
      </c>
      <c r="B12">
        <v>20.906700000000001</v>
      </c>
      <c r="C12">
        <v>4882.5251239000299</v>
      </c>
      <c r="D12">
        <v>5.9443999999999999</v>
      </c>
      <c r="E12">
        <f>LOG(B12)</f>
        <v>1.3202854873899716</v>
      </c>
      <c r="F12">
        <f t="shared" si="0"/>
        <v>3.6886444867050172</v>
      </c>
      <c r="G12">
        <f t="shared" si="0"/>
        <v>0.774108025508218</v>
      </c>
    </row>
    <row r="13" spans="1:7" x14ac:dyDescent="0.25">
      <c r="A13">
        <v>13</v>
      </c>
      <c r="B13">
        <v>19.876300000000001</v>
      </c>
      <c r="C13">
        <v>8048.2556896000096</v>
      </c>
      <c r="D13">
        <v>4.2629999999999999</v>
      </c>
      <c r="E13">
        <f t="shared" ref="E13:E19" si="2">LOG(B13)</f>
        <v>1.2983355430826178</v>
      </c>
      <c r="F13">
        <f t="shared" si="0"/>
        <v>3.9057017652787542</v>
      </c>
      <c r="G13">
        <f t="shared" si="0"/>
        <v>0.6297153326471322</v>
      </c>
    </row>
    <row r="14" spans="1:7" x14ac:dyDescent="0.25">
      <c r="A14">
        <v>14</v>
      </c>
      <c r="B14">
        <v>15.3405</v>
      </c>
      <c r="C14">
        <v>9283.4906558999792</v>
      </c>
      <c r="D14">
        <v>6.8590999999999998</v>
      </c>
      <c r="E14">
        <f t="shared" si="2"/>
        <v>1.1858395150042349</v>
      </c>
      <c r="F14">
        <f t="shared" si="0"/>
        <v>3.9677113046188439</v>
      </c>
      <c r="G14">
        <f t="shared" si="0"/>
        <v>0.83626713455867729</v>
      </c>
    </row>
    <row r="15" spans="1:7" x14ac:dyDescent="0.25">
      <c r="A15">
        <v>15</v>
      </c>
      <c r="B15">
        <v>15.4435</v>
      </c>
      <c r="C15">
        <v>12246.5345355999</v>
      </c>
      <c r="D15">
        <v>4.5831999999999997</v>
      </c>
      <c r="E15">
        <f t="shared" si="2"/>
        <v>1.1887457324264934</v>
      </c>
      <c r="F15">
        <f t="shared" si="0"/>
        <v>4.0880132115585583</v>
      </c>
      <c r="G15">
        <f t="shared" si="0"/>
        <v>0.66116880924155608</v>
      </c>
    </row>
    <row r="16" spans="1:7" x14ac:dyDescent="0.25">
      <c r="A16">
        <v>16</v>
      </c>
      <c r="B16">
        <v>16.4849</v>
      </c>
      <c r="C16">
        <v>16443.331151199902</v>
      </c>
      <c r="D16">
        <v>4.7533000000000003</v>
      </c>
      <c r="E16">
        <f>LOG(B16)</f>
        <v>1.2170863169884278</v>
      </c>
      <c r="F16">
        <f t="shared" si="0"/>
        <v>4.2159898031088741</v>
      </c>
      <c r="G16">
        <f t="shared" si="0"/>
        <v>0.67699522524215427</v>
      </c>
    </row>
    <row r="17" spans="1:7" x14ac:dyDescent="0.25">
      <c r="A17">
        <v>17</v>
      </c>
      <c r="B17">
        <v>17.738499999999998</v>
      </c>
      <c r="C17">
        <v>22022.609618499901</v>
      </c>
      <c r="D17">
        <v>5.0682</v>
      </c>
      <c r="E17">
        <f t="shared" si="2"/>
        <v>1.248916892312752</v>
      </c>
      <c r="F17">
        <f t="shared" si="0"/>
        <v>4.342868780383359</v>
      </c>
      <c r="G17">
        <f t="shared" si="0"/>
        <v>0.70485374456628858</v>
      </c>
    </row>
    <row r="18" spans="1:7" x14ac:dyDescent="0.25">
      <c r="A18">
        <v>18</v>
      </c>
      <c r="B18">
        <v>18.9999</v>
      </c>
      <c r="C18">
        <v>29389.078318899999</v>
      </c>
      <c r="D18">
        <v>5.3944000000000001</v>
      </c>
      <c r="E18">
        <f t="shared" si="2"/>
        <v>1.2787513151863827</v>
      </c>
      <c r="F18">
        <f t="shared" si="0"/>
        <v>4.4681859662259837</v>
      </c>
      <c r="G18">
        <f t="shared" ref="G18:G20" si="3">LOG(D18)</f>
        <v>0.73194314666858362</v>
      </c>
    </row>
    <row r="19" spans="1:7" x14ac:dyDescent="0.25">
      <c r="A19">
        <v>19</v>
      </c>
      <c r="B19">
        <v>20.060099999999998</v>
      </c>
      <c r="C19">
        <v>44037.135799999996</v>
      </c>
      <c r="D19">
        <v>5.5542999999999996</v>
      </c>
      <c r="E19">
        <f t="shared" si="2"/>
        <v>1.3023330936564801</v>
      </c>
      <c r="F19">
        <f t="shared" si="0"/>
        <v>4.6438190644616952</v>
      </c>
      <c r="G19">
        <f t="shared" si="3"/>
        <v>0.74462933325109992</v>
      </c>
    </row>
    <row r="20" spans="1:7" x14ac:dyDescent="0.25">
      <c r="A20">
        <v>20</v>
      </c>
      <c r="B20">
        <v>21.560600000000001</v>
      </c>
      <c r="C20">
        <v>55108.906199999998</v>
      </c>
      <c r="D20">
        <v>5.9722</v>
      </c>
      <c r="E20">
        <f>LOG(B20)</f>
        <v>1.3336608424638372</v>
      </c>
      <c r="F20">
        <f t="shared" ref="F20" si="4">LOG(C20)</f>
        <v>4.7412217912465104</v>
      </c>
      <c r="G20">
        <f t="shared" si="3"/>
        <v>0.77613434316584407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8AF3C-AD2A-4257-9CCC-79B1A14B2AF3}">
  <dimension ref="A1:G20"/>
  <sheetViews>
    <sheetView workbookViewId="0">
      <selection activeCell="AC14" sqref="AC1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</v>
      </c>
      <c r="B2">
        <v>2.3650000000000002</v>
      </c>
      <c r="C2">
        <v>5.1812339000170997</v>
      </c>
      <c r="D2">
        <v>0.78300000000000003</v>
      </c>
      <c r="E2">
        <f>LOG(B2)</f>
        <v>0.37383114507383042</v>
      </c>
      <c r="F2">
        <f t="shared" ref="F2:G19" si="0">LOG(C2)</f>
        <v>0.71443319838513852</v>
      </c>
      <c r="G2">
        <f t="shared" si="0"/>
        <v>-0.10623823794205658</v>
      </c>
    </row>
    <row r="3" spans="1:7" x14ac:dyDescent="0.25">
      <c r="A3">
        <v>3</v>
      </c>
      <c r="B3">
        <v>3.7818000000000001</v>
      </c>
      <c r="C3">
        <v>21.790363299893201</v>
      </c>
      <c r="D3">
        <v>1.4237</v>
      </c>
      <c r="E3">
        <f>LOG(B3)</f>
        <v>0.57769855750925869</v>
      </c>
      <c r="F3">
        <f t="shared" si="0"/>
        <v>1.3382644710825842</v>
      </c>
      <c r="G3">
        <f t="shared" si="0"/>
        <v>0.15341848503771086</v>
      </c>
    </row>
    <row r="4" spans="1:7" x14ac:dyDescent="0.25">
      <c r="A4">
        <v>4</v>
      </c>
      <c r="B4">
        <v>4.9005999999999998</v>
      </c>
      <c r="C4">
        <v>66.744182599941198</v>
      </c>
      <c r="D4">
        <v>1.6315</v>
      </c>
      <c r="E4">
        <f t="shared" ref="E4:E10" si="1">LOG(B4)</f>
        <v>0.6902492556890788</v>
      </c>
      <c r="F4">
        <f t="shared" si="0"/>
        <v>1.8244134187280845</v>
      </c>
      <c r="G4">
        <f t="shared" si="0"/>
        <v>0.21258707812389371</v>
      </c>
    </row>
    <row r="5" spans="1:7" x14ac:dyDescent="0.25">
      <c r="A5">
        <v>5</v>
      </c>
      <c r="B5">
        <v>6.3053999999999997</v>
      </c>
      <c r="C5">
        <v>166.36025719996499</v>
      </c>
      <c r="D5">
        <v>1.9901</v>
      </c>
      <c r="E5">
        <f t="shared" si="1"/>
        <v>0.79971264242099849</v>
      </c>
      <c r="F5">
        <f t="shared" si="0"/>
        <v>2.2210495831309771</v>
      </c>
      <c r="G5">
        <f t="shared" si="0"/>
        <v>0.29887489970469894</v>
      </c>
    </row>
    <row r="6" spans="1:7" x14ac:dyDescent="0.25">
      <c r="A6">
        <v>6</v>
      </c>
      <c r="B6">
        <v>7.5648</v>
      </c>
      <c r="C6">
        <v>352.940339699969</v>
      </c>
      <c r="D6">
        <v>2.3887999999999998</v>
      </c>
      <c r="E6">
        <f t="shared" si="1"/>
        <v>0.87879745052912372</v>
      </c>
      <c r="F6">
        <f t="shared" si="0"/>
        <v>2.5477012993570387</v>
      </c>
      <c r="G6">
        <f t="shared" si="0"/>
        <v>0.37817979038095018</v>
      </c>
    </row>
    <row r="7" spans="1:7" x14ac:dyDescent="0.25">
      <c r="A7">
        <v>7</v>
      </c>
      <c r="B7">
        <v>8.9550000000000001</v>
      </c>
      <c r="C7">
        <v>680.10019410005702</v>
      </c>
      <c r="D7">
        <v>2.9575</v>
      </c>
      <c r="E7">
        <f t="shared" si="1"/>
        <v>0.95206559018505033</v>
      </c>
      <c r="F7">
        <f t="shared" si="0"/>
        <v>2.832572898793499</v>
      </c>
      <c r="G7">
        <f t="shared" si="0"/>
        <v>0.47092475329996797</v>
      </c>
    </row>
    <row r="8" spans="1:7" x14ac:dyDescent="0.25">
      <c r="A8">
        <v>8</v>
      </c>
      <c r="B8">
        <v>10.378399999999999</v>
      </c>
      <c r="C8">
        <v>1196.06229789997</v>
      </c>
      <c r="D8">
        <v>3.2326999999999999</v>
      </c>
      <c r="E8">
        <f t="shared" si="1"/>
        <v>1.0161304050797639</v>
      </c>
      <c r="F8">
        <f>LOG(C8)</f>
        <v>3.0777538008309633</v>
      </c>
      <c r="G8">
        <f t="shared" si="0"/>
        <v>0.50956540322279242</v>
      </c>
    </row>
    <row r="9" spans="1:7" x14ac:dyDescent="0.25">
      <c r="A9">
        <v>9</v>
      </c>
      <c r="B9">
        <v>11.7439</v>
      </c>
      <c r="C9">
        <v>1747.20701160002</v>
      </c>
      <c r="D9">
        <v>3.6172</v>
      </c>
      <c r="E9">
        <f t="shared" si="1"/>
        <v>1.0698123445446543</v>
      </c>
      <c r="F9">
        <f t="shared" si="0"/>
        <v>3.2423443638663829</v>
      </c>
      <c r="G9">
        <f t="shared" si="0"/>
        <v>0.55837252216915689</v>
      </c>
    </row>
    <row r="10" spans="1:7" x14ac:dyDescent="0.25">
      <c r="A10">
        <v>10</v>
      </c>
      <c r="B10">
        <v>13.5974</v>
      </c>
      <c r="C10">
        <v>2703.2037676</v>
      </c>
      <c r="D10">
        <v>4.0448000000000004</v>
      </c>
      <c r="E10">
        <f t="shared" si="1"/>
        <v>1.1334558735465661</v>
      </c>
      <c r="F10">
        <f t="shared" si="0"/>
        <v>3.4318787840667619</v>
      </c>
      <c r="G10">
        <f t="shared" si="0"/>
        <v>0.60689705226627222</v>
      </c>
    </row>
    <row r="11" spans="1:7" x14ac:dyDescent="0.25">
      <c r="A11">
        <v>11</v>
      </c>
      <c r="B11">
        <v>26.2073</v>
      </c>
      <c r="C11">
        <v>5701.4003247000501</v>
      </c>
      <c r="D11">
        <v>5.9954999999999998</v>
      </c>
      <c r="E11">
        <f>LOG(B11)</f>
        <v>1.4184222801796331</v>
      </c>
      <c r="F11">
        <f t="shared" si="0"/>
        <v>3.755981536128548</v>
      </c>
      <c r="G11">
        <f t="shared" si="0"/>
        <v>0.77782540731578609</v>
      </c>
    </row>
    <row r="12" spans="1:7" x14ac:dyDescent="0.25">
      <c r="A12">
        <v>12</v>
      </c>
      <c r="B12">
        <v>21.835799999999999</v>
      </c>
      <c r="C12">
        <v>8513.11670220003</v>
      </c>
      <c r="D12">
        <v>7.4808000000000003</v>
      </c>
      <c r="E12">
        <f>LOG(B12)</f>
        <v>1.3391691078314798</v>
      </c>
      <c r="F12">
        <f t="shared" si="0"/>
        <v>3.9300885869662117</v>
      </c>
      <c r="G12">
        <f t="shared" si="0"/>
        <v>0.87394804398844594</v>
      </c>
    </row>
    <row r="13" spans="1:7" x14ac:dyDescent="0.25">
      <c r="A13">
        <v>13</v>
      </c>
      <c r="B13">
        <v>17.9573</v>
      </c>
      <c r="C13">
        <v>11001.282430499999</v>
      </c>
      <c r="D13">
        <v>5.5476999999999999</v>
      </c>
      <c r="E13">
        <f t="shared" ref="E13:E19" si="2">LOG(B13)</f>
        <v>1.2542410381636646</v>
      </c>
      <c r="F13">
        <f t="shared" si="0"/>
        <v>4.0414433142515032</v>
      </c>
      <c r="G13">
        <f t="shared" si="0"/>
        <v>0.74411296792625192</v>
      </c>
    </row>
    <row r="14" spans="1:7" x14ac:dyDescent="0.25">
      <c r="A14">
        <v>14</v>
      </c>
      <c r="B14">
        <v>19.3643</v>
      </c>
      <c r="C14">
        <v>13830.047304399999</v>
      </c>
      <c r="D14">
        <v>5.59</v>
      </c>
      <c r="E14">
        <f t="shared" si="2"/>
        <v>1.2870018022964353</v>
      </c>
      <c r="F14">
        <f t="shared" si="0"/>
        <v>4.1408236655760318</v>
      </c>
      <c r="G14">
        <f t="shared" si="0"/>
        <v>0.74741180788642325</v>
      </c>
    </row>
    <row r="15" spans="1:7" x14ac:dyDescent="0.25">
      <c r="A15">
        <v>15</v>
      </c>
      <c r="B15">
        <v>21.045400000000001</v>
      </c>
      <c r="C15">
        <v>16289.577558699901</v>
      </c>
      <c r="D15">
        <v>5.9623999999999997</v>
      </c>
      <c r="E15">
        <f t="shared" si="2"/>
        <v>1.3231571845930392</v>
      </c>
      <c r="F15">
        <f t="shared" si="0"/>
        <v>4.2119098217974935</v>
      </c>
      <c r="G15">
        <f t="shared" si="0"/>
        <v>0.77542110822219423</v>
      </c>
    </row>
    <row r="16" spans="1:7" x14ac:dyDescent="0.25">
      <c r="A16">
        <v>16</v>
      </c>
      <c r="B16">
        <v>22.7835</v>
      </c>
      <c r="C16">
        <v>22719.493045200001</v>
      </c>
      <c r="D16">
        <v>6.4454000000000002</v>
      </c>
      <c r="E16">
        <f>LOG(B16)</f>
        <v>1.3576204411621846</v>
      </c>
      <c r="F16">
        <f t="shared" si="0"/>
        <v>4.3563986364523366</v>
      </c>
      <c r="G16">
        <f t="shared" si="0"/>
        <v>0.80924987473863941</v>
      </c>
    </row>
    <row r="17" spans="1:7" x14ac:dyDescent="0.25">
      <c r="A17">
        <v>17</v>
      </c>
      <c r="B17">
        <v>24.108699999999999</v>
      </c>
      <c r="C17">
        <v>31137.510142700001</v>
      </c>
      <c r="D17">
        <v>6.7835000000000001</v>
      </c>
      <c r="E17">
        <f t="shared" si="2"/>
        <v>1.3821737927893971</v>
      </c>
      <c r="F17">
        <f t="shared" si="0"/>
        <v>4.4932838820112169</v>
      </c>
      <c r="G17">
        <f t="shared" si="0"/>
        <v>0.83145382933658074</v>
      </c>
    </row>
    <row r="18" spans="1:7" x14ac:dyDescent="0.25">
      <c r="A18">
        <v>18</v>
      </c>
      <c r="B18">
        <v>25.852799999999998</v>
      </c>
      <c r="C18">
        <v>38904.209000000003</v>
      </c>
      <c r="D18">
        <v>7.2923</v>
      </c>
      <c r="E18">
        <f t="shared" si="2"/>
        <v>1.4125075864510788</v>
      </c>
      <c r="F18">
        <f t="shared" si="0"/>
        <v>4.5899965896699015</v>
      </c>
      <c r="G18">
        <f t="shared" ref="G18:G20" si="3">LOG(D18)</f>
        <v>0.86286452691444582</v>
      </c>
    </row>
    <row r="19" spans="1:7" x14ac:dyDescent="0.25">
      <c r="A19">
        <v>19</v>
      </c>
      <c r="B19">
        <v>27.515000000000001</v>
      </c>
      <c r="C19">
        <v>57286.044000000002</v>
      </c>
      <c r="D19">
        <v>7.5523999999999996</v>
      </c>
      <c r="E19">
        <f t="shared" si="2"/>
        <v>1.4395695171471754</v>
      </c>
      <c r="F19">
        <f t="shared" si="0"/>
        <v>4.758048832228817</v>
      </c>
      <c r="G19">
        <f t="shared" si="3"/>
        <v>0.87808498356654152</v>
      </c>
    </row>
    <row r="20" spans="1:7" x14ac:dyDescent="0.25">
      <c r="A20">
        <v>20</v>
      </c>
      <c r="B20">
        <v>29.072399999999998</v>
      </c>
      <c r="C20">
        <v>69179.555800000002</v>
      </c>
      <c r="D20">
        <v>8.1601999999999997</v>
      </c>
      <c r="E20">
        <f>LOG(B20)</f>
        <v>1.4634808853560093</v>
      </c>
      <c r="F20">
        <f t="shared" ref="F20" si="4">LOG(C20)</f>
        <v>4.8399777690945296</v>
      </c>
      <c r="G20">
        <f t="shared" si="3"/>
        <v>0.91170080309601198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E9BF4-F89F-4CC3-910D-1503C4681930}">
  <dimension ref="A1:J20"/>
  <sheetViews>
    <sheetView workbookViewId="0">
      <selection activeCell="N17" sqref="N1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 x14ac:dyDescent="0.25">
      <c r="A2">
        <v>2</v>
      </c>
      <c r="B2">
        <v>2.9443999999999999</v>
      </c>
      <c r="C2">
        <v>5.5901536000892502</v>
      </c>
      <c r="D2">
        <v>0.99790000000000001</v>
      </c>
      <c r="E2">
        <f>LOG(B2)</f>
        <v>0.46899680905960173</v>
      </c>
      <c r="F2">
        <f t="shared" ref="F2:G18" si="0">LOG(C2)</f>
        <v>0.74742374111624665</v>
      </c>
      <c r="G2">
        <f t="shared" si="0"/>
        <v>-9.1297737411159135E-4</v>
      </c>
    </row>
    <row r="3" spans="1:10" x14ac:dyDescent="0.25">
      <c r="A3">
        <v>3</v>
      </c>
      <c r="B3">
        <v>6.6768000000000001</v>
      </c>
      <c r="C3">
        <v>23.229626700049199</v>
      </c>
      <c r="D3">
        <v>1.5939000000000001</v>
      </c>
      <c r="E3">
        <f>LOG(B3)</f>
        <v>0.82456836736763361</v>
      </c>
      <c r="F3">
        <f t="shared" si="0"/>
        <v>1.3660422307467972</v>
      </c>
      <c r="G3">
        <f t="shared" si="0"/>
        <v>0.20246107062939966</v>
      </c>
      <c r="J3">
        <f>SUM(C2:C10)/3600</f>
        <v>2.4786546002500049</v>
      </c>
    </row>
    <row r="4" spans="1:10" x14ac:dyDescent="0.25">
      <c r="A4">
        <v>4</v>
      </c>
      <c r="B4">
        <v>6.2206000000000001</v>
      </c>
      <c r="C4">
        <v>69.569092100020498</v>
      </c>
      <c r="D4">
        <v>2.9478</v>
      </c>
      <c r="E4">
        <f t="shared" ref="E4:E10" si="1">LOG(B4)</f>
        <v>0.79383227602875162</v>
      </c>
      <c r="F4">
        <f t="shared" si="0"/>
        <v>1.8424163357060175</v>
      </c>
      <c r="G4">
        <f t="shared" si="0"/>
        <v>0.4694980145184654</v>
      </c>
    </row>
    <row r="5" spans="1:10" x14ac:dyDescent="0.25">
      <c r="A5">
        <v>5</v>
      </c>
      <c r="B5">
        <v>7.7586000000000004</v>
      </c>
      <c r="C5">
        <v>170.759828199981</v>
      </c>
      <c r="D5">
        <v>2.4710999999999999</v>
      </c>
      <c r="E5">
        <f t="shared" si="1"/>
        <v>0.88978336209224385</v>
      </c>
      <c r="F5">
        <f t="shared" si="0"/>
        <v>2.2323857091921235</v>
      </c>
      <c r="G5">
        <f t="shared" si="0"/>
        <v>0.39289032070334656</v>
      </c>
    </row>
    <row r="6" spans="1:10" x14ac:dyDescent="0.25">
      <c r="A6">
        <v>6</v>
      </c>
      <c r="B6">
        <v>9.49</v>
      </c>
      <c r="C6">
        <v>368.41132559999801</v>
      </c>
      <c r="D6">
        <v>2.9664000000000001</v>
      </c>
      <c r="E6">
        <f t="shared" si="1"/>
        <v>0.97726621242729272</v>
      </c>
      <c r="F6">
        <f t="shared" si="0"/>
        <v>2.5663329726919635</v>
      </c>
      <c r="G6">
        <f t="shared" si="0"/>
        <v>0.4722297124644031</v>
      </c>
    </row>
    <row r="7" spans="1:10" x14ac:dyDescent="0.25">
      <c r="A7">
        <v>7</v>
      </c>
      <c r="B7">
        <v>11.4374</v>
      </c>
      <c r="C7">
        <v>708.65240999998002</v>
      </c>
      <c r="D7">
        <v>3.8239999999999998</v>
      </c>
      <c r="E7">
        <f t="shared" si="1"/>
        <v>1.0583273099476809</v>
      </c>
      <c r="F7">
        <f t="shared" si="0"/>
        <v>2.850433268420645</v>
      </c>
      <c r="G7">
        <f t="shared" si="0"/>
        <v>0.58251788360406243</v>
      </c>
    </row>
    <row r="8" spans="1:10" x14ac:dyDescent="0.25">
      <c r="A8">
        <v>8</v>
      </c>
      <c r="B8">
        <v>13.3208</v>
      </c>
      <c r="C8">
        <v>1583.82117439992</v>
      </c>
      <c r="D8">
        <v>4.0462999999999996</v>
      </c>
      <c r="E8">
        <f t="shared" si="1"/>
        <v>1.1245303078036846</v>
      </c>
      <c r="F8">
        <f>LOG(C8)</f>
        <v>3.1997061448320441</v>
      </c>
      <c r="G8">
        <f t="shared" si="0"/>
        <v>0.60705807900684339</v>
      </c>
    </row>
    <row r="9" spans="1:10" x14ac:dyDescent="0.25">
      <c r="A9">
        <v>9</v>
      </c>
      <c r="B9">
        <v>14.6873</v>
      </c>
      <c r="C9">
        <v>2383.4913155999898</v>
      </c>
      <c r="D9">
        <v>4.4824999999999999</v>
      </c>
      <c r="E9">
        <f t="shared" si="1"/>
        <v>1.1669419657783466</v>
      </c>
      <c r="F9">
        <f t="shared" si="0"/>
        <v>3.3772135738867761</v>
      </c>
      <c r="G9">
        <f t="shared" si="0"/>
        <v>0.65152029823422042</v>
      </c>
    </row>
    <row r="10" spans="1:10" x14ac:dyDescent="0.25">
      <c r="A10">
        <v>10</v>
      </c>
      <c r="B10">
        <v>16.7286</v>
      </c>
      <c r="C10">
        <v>3609.6316346999902</v>
      </c>
      <c r="D10">
        <v>5.0475000000000003</v>
      </c>
      <c r="E10">
        <f t="shared" si="1"/>
        <v>1.2234595968072284</v>
      </c>
      <c r="F10">
        <f t="shared" si="0"/>
        <v>3.5574628841273133</v>
      </c>
      <c r="G10">
        <f t="shared" si="0"/>
        <v>0.70307632761567695</v>
      </c>
    </row>
    <row r="11" spans="1:10" x14ac:dyDescent="0.25">
      <c r="A11">
        <v>11</v>
      </c>
      <c r="B11">
        <v>18.508400000000002</v>
      </c>
      <c r="C11">
        <v>5819.0738000000001</v>
      </c>
      <c r="D11">
        <v>5.7043999999999997</v>
      </c>
      <c r="E11">
        <f>LOG(B11)</f>
        <v>1.2673688768185429</v>
      </c>
      <c r="F11">
        <f t="shared" si="0"/>
        <v>3.7648538651379928</v>
      </c>
      <c r="G11">
        <f t="shared" si="0"/>
        <v>0.75620997120951028</v>
      </c>
    </row>
    <row r="12" spans="1:10" x14ac:dyDescent="0.25">
      <c r="A12">
        <v>12</v>
      </c>
      <c r="B12">
        <v>25.424499999999998</v>
      </c>
      <c r="C12">
        <v>9035.268</v>
      </c>
      <c r="D12">
        <v>6.0067000000000004</v>
      </c>
      <c r="E12">
        <f>LOG(B12)</f>
        <v>1.4052524208130259</v>
      </c>
      <c r="F12">
        <f t="shared" si="0"/>
        <v>3.9559410389329179</v>
      </c>
      <c r="G12">
        <f t="shared" si="0"/>
        <v>0.77863594198596153</v>
      </c>
    </row>
    <row r="13" spans="1:10" x14ac:dyDescent="0.25">
      <c r="A13">
        <v>13</v>
      </c>
      <c r="B13">
        <v>21.982199999999999</v>
      </c>
      <c r="C13">
        <v>12282.619500000001</v>
      </c>
      <c r="D13">
        <v>6.3925000000000001</v>
      </c>
      <c r="E13">
        <f t="shared" ref="E13:F20" si="2">LOG(B13)</f>
        <v>1.3420711548776225</v>
      </c>
      <c r="F13">
        <f t="shared" si="0"/>
        <v>4.0892909981631078</v>
      </c>
      <c r="G13">
        <f t="shared" si="0"/>
        <v>0.80567073669837308</v>
      </c>
    </row>
    <row r="14" spans="1:10" x14ac:dyDescent="0.25">
      <c r="A14">
        <v>14</v>
      </c>
      <c r="B14">
        <v>23.693200000000001</v>
      </c>
      <c r="C14">
        <v>17568.862700000001</v>
      </c>
      <c r="D14">
        <v>6.9657</v>
      </c>
      <c r="E14">
        <f t="shared" si="2"/>
        <v>1.3746237204310248</v>
      </c>
      <c r="F14">
        <f t="shared" si="0"/>
        <v>4.2447436488543904</v>
      </c>
      <c r="G14">
        <f t="shared" si="0"/>
        <v>0.84296476625340155</v>
      </c>
    </row>
    <row r="15" spans="1:10" x14ac:dyDescent="0.25">
      <c r="A15">
        <v>15</v>
      </c>
      <c r="B15">
        <v>36.450299999999999</v>
      </c>
      <c r="C15">
        <v>21826.7006</v>
      </c>
      <c r="D15">
        <v>7.3963999999999999</v>
      </c>
      <c r="E15">
        <f t="shared" si="2"/>
        <v>1.5617011070794642</v>
      </c>
      <c r="F15">
        <f t="shared" si="0"/>
        <v>4.3389880912057013</v>
      </c>
      <c r="G15">
        <f t="shared" si="0"/>
        <v>0.86902038992565844</v>
      </c>
    </row>
    <row r="16" spans="1:10" x14ac:dyDescent="0.25">
      <c r="A16">
        <v>16</v>
      </c>
      <c r="B16">
        <v>42.929900000000004</v>
      </c>
      <c r="C16">
        <v>28811.079600000001</v>
      </c>
      <c r="D16">
        <v>12.080299999999999</v>
      </c>
      <c r="E16">
        <f>LOG(B16)</f>
        <v>1.6327598768442473</v>
      </c>
      <c r="F16">
        <f t="shared" si="0"/>
        <v>4.459559532335879</v>
      </c>
      <c r="G16">
        <f t="shared" si="0"/>
        <v>1.0820777196101774</v>
      </c>
    </row>
    <row r="17" spans="1:7" x14ac:dyDescent="0.25">
      <c r="A17">
        <v>17</v>
      </c>
      <c r="B17">
        <v>45.869100000000003</v>
      </c>
      <c r="C17">
        <v>40340.691899999998</v>
      </c>
      <c r="D17">
        <v>12.895</v>
      </c>
      <c r="E17">
        <f t="shared" si="2"/>
        <v>1.6615202189009322</v>
      </c>
      <c r="F17">
        <f t="shared" si="0"/>
        <v>4.6057433427060754</v>
      </c>
      <c r="G17">
        <f t="shared" si="0"/>
        <v>1.1104213464739563</v>
      </c>
    </row>
    <row r="18" spans="1:7" x14ac:dyDescent="0.25">
      <c r="A18">
        <v>18</v>
      </c>
      <c r="B18">
        <v>44.8399</v>
      </c>
      <c r="C18">
        <v>48776.084499999997</v>
      </c>
      <c r="D18">
        <v>11.854900000000001</v>
      </c>
      <c r="E18">
        <f t="shared" si="2"/>
        <v>1.6516646353793001</v>
      </c>
      <c r="F18">
        <f t="shared" si="0"/>
        <v>4.6882069343890471</v>
      </c>
      <c r="G18">
        <f t="shared" ref="G18:G20" si="3">LOG(D18)</f>
        <v>1.073897894912152</v>
      </c>
    </row>
    <row r="19" spans="1:7" x14ac:dyDescent="0.25">
      <c r="A19">
        <v>19</v>
      </c>
      <c r="B19">
        <v>50.642600000000002</v>
      </c>
      <c r="C19">
        <v>67363.932100000005</v>
      </c>
      <c r="D19">
        <v>14.209</v>
      </c>
      <c r="E19">
        <f t="shared" si="2"/>
        <v>1.7045159943368395</v>
      </c>
      <c r="F19">
        <f t="shared" si="2"/>
        <v>4.8284274294341634</v>
      </c>
      <c r="G19">
        <f t="shared" si="3"/>
        <v>1.1525635142565396</v>
      </c>
    </row>
    <row r="20" spans="1:7" x14ac:dyDescent="0.25">
      <c r="A20">
        <v>20</v>
      </c>
      <c r="B20">
        <v>54.6175</v>
      </c>
      <c r="C20">
        <v>87710.000700000004</v>
      </c>
      <c r="D20">
        <v>14.883900000000001</v>
      </c>
      <c r="E20">
        <f>LOG(B20)</f>
        <v>1.7373318173516272</v>
      </c>
      <c r="F20">
        <f t="shared" si="2"/>
        <v>4.9430491144744444</v>
      </c>
      <c r="G20">
        <f t="shared" si="3"/>
        <v>1.1727167434783541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782BF-EF77-487D-8C07-51FCBCEF7E85}">
  <dimension ref="A1:G20"/>
  <sheetViews>
    <sheetView workbookViewId="0">
      <selection activeCell="L37" sqref="L3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</v>
      </c>
      <c r="B2">
        <v>3.3567</v>
      </c>
      <c r="C2">
        <v>7.2655287</v>
      </c>
      <c r="D2">
        <v>1.1571</v>
      </c>
      <c r="E2">
        <f>LOG(B2)</f>
        <v>0.52591252856807214</v>
      </c>
      <c r="F2">
        <f t="shared" ref="F2:G17" si="0">LOG(C2)</f>
        <v>0.86126722264479927</v>
      </c>
      <c r="G2">
        <f t="shared" si="0"/>
        <v>6.337089358570433E-2</v>
      </c>
    </row>
    <row r="3" spans="1:7" x14ac:dyDescent="0.25">
      <c r="A3">
        <v>3</v>
      </c>
      <c r="B3">
        <v>6.0326000000000004</v>
      </c>
      <c r="C3">
        <v>33.315394900000001</v>
      </c>
      <c r="D3">
        <v>1.7319</v>
      </c>
      <c r="E3">
        <f>LOG(B3)</f>
        <v>0.78050452976660578</v>
      </c>
      <c r="F3">
        <f t="shared" si="0"/>
        <v>1.5226449654917271</v>
      </c>
      <c r="G3">
        <f t="shared" si="0"/>
        <v>0.23852281221829347</v>
      </c>
    </row>
    <row r="4" spans="1:7" x14ac:dyDescent="0.25">
      <c r="A4">
        <v>4</v>
      </c>
      <c r="B4">
        <v>8.4503000000000004</v>
      </c>
      <c r="C4">
        <v>99.332284599999994</v>
      </c>
      <c r="D4">
        <v>3.7309999999999999</v>
      </c>
      <c r="E4">
        <f t="shared" ref="E4:E10" si="1">LOG(B4)</f>
        <v>0.92687212741499592</v>
      </c>
      <c r="F4">
        <f t="shared" si="0"/>
        <v>1.9970904241736669</v>
      </c>
      <c r="G4">
        <f t="shared" si="0"/>
        <v>0.5718252490408291</v>
      </c>
    </row>
    <row r="5" spans="1:7" x14ac:dyDescent="0.25">
      <c r="A5">
        <v>5</v>
      </c>
      <c r="B5">
        <v>9.0127000000000006</v>
      </c>
      <c r="C5">
        <v>271.23827180000001</v>
      </c>
      <c r="D5">
        <v>2.96</v>
      </c>
      <c r="E5">
        <f t="shared" si="1"/>
        <v>0.95485491522347821</v>
      </c>
      <c r="F5">
        <f t="shared" si="0"/>
        <v>2.4333509685979275</v>
      </c>
      <c r="G5">
        <f t="shared" si="0"/>
        <v>0.47129171105893858</v>
      </c>
    </row>
    <row r="6" spans="1:7" x14ac:dyDescent="0.25">
      <c r="A6">
        <v>6</v>
      </c>
      <c r="B6">
        <v>11.029299999999999</v>
      </c>
      <c r="C6">
        <v>578.05867620000004</v>
      </c>
      <c r="D6">
        <v>3.5196999999999998</v>
      </c>
      <c r="E6">
        <f t="shared" si="1"/>
        <v>1.0425479498124159</v>
      </c>
      <c r="F6">
        <f t="shared" si="0"/>
        <v>2.7619719239854326</v>
      </c>
      <c r="G6">
        <f t="shared" si="0"/>
        <v>0.54650564816649849</v>
      </c>
    </row>
    <row r="7" spans="1:7" x14ac:dyDescent="0.25">
      <c r="A7">
        <v>7</v>
      </c>
      <c r="B7">
        <v>12.9605</v>
      </c>
      <c r="C7">
        <v>1018.094435</v>
      </c>
      <c r="D7">
        <v>4.1002000000000001</v>
      </c>
      <c r="E7">
        <f t="shared" si="1"/>
        <v>1.1126217563997183</v>
      </c>
      <c r="F7">
        <f t="shared" si="0"/>
        <v>3.0077880635579546</v>
      </c>
      <c r="G7">
        <f t="shared" si="0"/>
        <v>0.6128050412997208</v>
      </c>
    </row>
    <row r="8" spans="1:7" x14ac:dyDescent="0.25">
      <c r="A8">
        <v>8</v>
      </c>
      <c r="B8">
        <v>15.1867</v>
      </c>
      <c r="C8">
        <v>1786.4757999999999</v>
      </c>
      <c r="D8">
        <v>4.7964000000000002</v>
      </c>
      <c r="E8">
        <f t="shared" si="1"/>
        <v>1.181463413922706</v>
      </c>
      <c r="F8">
        <f>LOG(C8)</f>
        <v>3.251997137528301</v>
      </c>
      <c r="G8">
        <f t="shared" si="0"/>
        <v>0.68091539430772974</v>
      </c>
    </row>
    <row r="9" spans="1:7" x14ac:dyDescent="0.25">
      <c r="A9">
        <v>9</v>
      </c>
      <c r="B9">
        <v>17.142099999999999</v>
      </c>
      <c r="C9">
        <v>2891.2894000000001</v>
      </c>
      <c r="D9">
        <v>5.3445</v>
      </c>
      <c r="E9">
        <f t="shared" si="1"/>
        <v>1.2340640242701502</v>
      </c>
      <c r="F9">
        <f t="shared" si="0"/>
        <v>3.46109156400989</v>
      </c>
      <c r="G9">
        <f t="shared" si="0"/>
        <v>0.7279070814066968</v>
      </c>
    </row>
    <row r="10" spans="1:7" x14ac:dyDescent="0.25">
      <c r="A10">
        <v>10</v>
      </c>
      <c r="B10">
        <v>19.6309</v>
      </c>
      <c r="C10">
        <v>4395.5210999999999</v>
      </c>
      <c r="D10">
        <v>5.8555999999999999</v>
      </c>
      <c r="E10">
        <f t="shared" si="1"/>
        <v>1.2929402107601569</v>
      </c>
      <c r="F10">
        <f t="shared" si="0"/>
        <v>3.6430103691570332</v>
      </c>
      <c r="G10">
        <f t="shared" si="0"/>
        <v>0.76757140211351571</v>
      </c>
    </row>
    <row r="11" spans="1:7" x14ac:dyDescent="0.25">
      <c r="A11">
        <v>11</v>
      </c>
      <c r="B11">
        <v>21.6309</v>
      </c>
      <c r="C11">
        <v>6821.5994000000001</v>
      </c>
      <c r="D11">
        <v>6.4678000000000004</v>
      </c>
      <c r="E11">
        <f>LOG(B11)</f>
        <v>1.3350745895686436</v>
      </c>
      <c r="F11">
        <f t="shared" si="0"/>
        <v>3.8338862117764778</v>
      </c>
      <c r="G11">
        <f t="shared" si="0"/>
        <v>0.81075658200750667</v>
      </c>
    </row>
    <row r="12" spans="1:7" x14ac:dyDescent="0.25">
      <c r="A12">
        <v>12</v>
      </c>
      <c r="B12">
        <v>23.627800000000001</v>
      </c>
      <c r="C12">
        <v>10273.065199999999</v>
      </c>
      <c r="D12">
        <v>7.1113</v>
      </c>
      <c r="E12">
        <f>LOG(B12)</f>
        <v>1.3734232860699485</v>
      </c>
      <c r="F12">
        <f t="shared" si="0"/>
        <v>4.0117000444570179</v>
      </c>
      <c r="G12">
        <f t="shared" si="0"/>
        <v>0.85194900033852872</v>
      </c>
    </row>
    <row r="13" spans="1:7" x14ac:dyDescent="0.25">
      <c r="A13">
        <v>13</v>
      </c>
      <c r="B13">
        <v>26.0349</v>
      </c>
      <c r="C13">
        <v>15457.897300000001</v>
      </c>
      <c r="D13">
        <v>7.5719000000000003</v>
      </c>
      <c r="E13">
        <f t="shared" ref="E13:E19" si="2">LOG(B13)</f>
        <v>1.4155559138906588</v>
      </c>
      <c r="F13">
        <f t="shared" si="0"/>
        <v>4.1891504175827041</v>
      </c>
      <c r="G13">
        <f t="shared" si="0"/>
        <v>0.87920486972190059</v>
      </c>
    </row>
    <row r="14" spans="1:7" x14ac:dyDescent="0.25">
      <c r="A14">
        <v>14</v>
      </c>
      <c r="B14">
        <v>28.315300000000001</v>
      </c>
      <c r="C14">
        <v>22118.2965</v>
      </c>
      <c r="D14">
        <v>8.6135999999999999</v>
      </c>
      <c r="E14">
        <f t="shared" si="2"/>
        <v>1.452021167327703</v>
      </c>
      <c r="F14">
        <f t="shared" si="0"/>
        <v>4.3447516755649014</v>
      </c>
      <c r="G14">
        <f t="shared" si="0"/>
        <v>0.93518470004484588</v>
      </c>
    </row>
    <row r="15" spans="1:7" x14ac:dyDescent="0.25">
      <c r="A15">
        <v>15</v>
      </c>
      <c r="B15">
        <v>30.667200000000001</v>
      </c>
      <c r="C15">
        <v>29407.671600000001</v>
      </c>
      <c r="D15">
        <v>8.7859999999999996</v>
      </c>
      <c r="E15">
        <f t="shared" si="2"/>
        <v>1.4866741255077272</v>
      </c>
      <c r="F15">
        <f t="shared" si="0"/>
        <v>4.4684606398996998</v>
      </c>
      <c r="G15">
        <f t="shared" si="0"/>
        <v>0.94379119892930163</v>
      </c>
    </row>
    <row r="16" spans="1:7" x14ac:dyDescent="0.25">
      <c r="A16">
        <v>16</v>
      </c>
      <c r="B16">
        <v>32.904800000000002</v>
      </c>
      <c r="C16">
        <v>39921.790500000003</v>
      </c>
      <c r="D16">
        <v>9.5372000000000003</v>
      </c>
      <c r="E16">
        <f>LOG(B16)</f>
        <v>1.5172592554411248</v>
      </c>
      <c r="F16">
        <f t="shared" si="0"/>
        <v>4.6012100112433831</v>
      </c>
      <c r="G16">
        <f t="shared" si="0"/>
        <v>0.97942089010907485</v>
      </c>
    </row>
    <row r="17" spans="1:7" x14ac:dyDescent="0.25">
      <c r="A17">
        <v>17</v>
      </c>
      <c r="B17">
        <v>35.514800000000001</v>
      </c>
      <c r="C17">
        <v>47813.1391</v>
      </c>
      <c r="D17">
        <v>10.108599999999999</v>
      </c>
      <c r="E17">
        <f t="shared" si="2"/>
        <v>1.5504093733051048</v>
      </c>
      <c r="F17">
        <f t="shared" si="0"/>
        <v>4.6795472575852406</v>
      </c>
      <c r="G17">
        <f t="shared" si="0"/>
        <v>1.004691011735775</v>
      </c>
    </row>
    <row r="18" spans="1:7" x14ac:dyDescent="0.25">
      <c r="A18">
        <v>18</v>
      </c>
      <c r="B18">
        <v>37.887999999999998</v>
      </c>
      <c r="D18">
        <v>10.679600000000001</v>
      </c>
      <c r="E18">
        <f t="shared" si="2"/>
        <v>1.5785016807068069</v>
      </c>
      <c r="G18">
        <f t="shared" ref="G18:G20" si="3">LOG(D18)</f>
        <v>1.0285549866769961</v>
      </c>
    </row>
    <row r="19" spans="1:7" x14ac:dyDescent="0.25">
      <c r="A19">
        <v>19</v>
      </c>
      <c r="B19">
        <v>40.313000000000002</v>
      </c>
      <c r="D19">
        <v>11.228300000000001</v>
      </c>
      <c r="E19">
        <f t="shared" si="2"/>
        <v>1.6054451185441632</v>
      </c>
      <c r="G19">
        <f t="shared" si="3"/>
        <v>1.0503140076855955</v>
      </c>
    </row>
    <row r="20" spans="1:7" x14ac:dyDescent="0.25">
      <c r="A20">
        <v>20</v>
      </c>
      <c r="B20">
        <v>42.800600000000003</v>
      </c>
      <c r="D20">
        <v>11.7698</v>
      </c>
      <c r="E20">
        <f>LOG(B20)</f>
        <v>1.6314498572108984</v>
      </c>
      <c r="G20">
        <f t="shared" si="3"/>
        <v>1.0707690830954009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5216E-365E-440F-91CA-4997823DEFB6}">
  <dimension ref="A1:G20"/>
  <sheetViews>
    <sheetView workbookViewId="0">
      <selection activeCell="C17" sqref="C1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</v>
      </c>
      <c r="B2">
        <v>3.8852000000000002</v>
      </c>
      <c r="C2">
        <v>7.8597063000779599</v>
      </c>
      <c r="D2">
        <v>1.3203</v>
      </c>
      <c r="E2">
        <f>LOG(B2)</f>
        <v>0.58941338006375599</v>
      </c>
      <c r="F2">
        <f t="shared" ref="F2:G17" si="0">LOG(C2)</f>
        <v>0.89540631771388357</v>
      </c>
      <c r="G2">
        <f t="shared" si="0"/>
        <v>0.12067262328260757</v>
      </c>
    </row>
    <row r="3" spans="1:7" x14ac:dyDescent="0.25">
      <c r="A3">
        <v>3</v>
      </c>
      <c r="B3">
        <v>6.3968999999999996</v>
      </c>
      <c r="C3">
        <v>42.034642199985598</v>
      </c>
      <c r="D3">
        <v>2.1223000000000001</v>
      </c>
      <c r="E3">
        <f>LOG(B3)</f>
        <v>0.80596956163085864</v>
      </c>
      <c r="F3">
        <f t="shared" si="0"/>
        <v>1.6236073550425068</v>
      </c>
      <c r="G3">
        <f t="shared" si="0"/>
        <v>0.32680677406843806</v>
      </c>
    </row>
    <row r="4" spans="1:7" x14ac:dyDescent="0.25">
      <c r="A4">
        <v>4</v>
      </c>
      <c r="B4">
        <v>8.6684000000000001</v>
      </c>
      <c r="C4">
        <v>126.17849820002399</v>
      </c>
      <c r="D4">
        <v>2.9626000000000001</v>
      </c>
      <c r="E4">
        <f t="shared" ref="E4:E10" si="1">LOG(B4)</f>
        <v>0.93793894346280449</v>
      </c>
      <c r="F4">
        <f t="shared" si="0"/>
        <v>2.1009853540469505</v>
      </c>
      <c r="G4">
        <f t="shared" si="0"/>
        <v>0.47167301850009125</v>
      </c>
    </row>
    <row r="5" spans="1:7" x14ac:dyDescent="0.25">
      <c r="A5">
        <v>5</v>
      </c>
      <c r="B5">
        <v>13.5311</v>
      </c>
      <c r="C5">
        <v>312.25367880007201</v>
      </c>
      <c r="D5">
        <v>3.4306000000000001</v>
      </c>
      <c r="E5">
        <f t="shared" si="1"/>
        <v>1.1313331036568599</v>
      </c>
      <c r="F5">
        <f t="shared" si="0"/>
        <v>2.4945075636936025</v>
      </c>
      <c r="G5">
        <f t="shared" si="0"/>
        <v>0.53537008327916569</v>
      </c>
    </row>
    <row r="6" spans="1:7" x14ac:dyDescent="0.25">
      <c r="A6">
        <v>6</v>
      </c>
      <c r="B6">
        <v>19.628599999999999</v>
      </c>
      <c r="C6">
        <v>709.91157840005997</v>
      </c>
      <c r="D6">
        <v>6.4477000000000002</v>
      </c>
      <c r="E6">
        <f t="shared" si="1"/>
        <v>1.2928893248696325</v>
      </c>
      <c r="F6">
        <f t="shared" si="0"/>
        <v>2.851204259417222</v>
      </c>
      <c r="G6">
        <f t="shared" si="0"/>
        <v>0.80940482231819333</v>
      </c>
    </row>
    <row r="7" spans="1:7" x14ac:dyDescent="0.25">
      <c r="A7">
        <v>7</v>
      </c>
      <c r="B7">
        <v>23.0535</v>
      </c>
      <c r="C7">
        <v>1152.3501132000199</v>
      </c>
      <c r="D7">
        <v>7.2659000000000002</v>
      </c>
      <c r="E7">
        <f t="shared" si="1"/>
        <v>1.3627368696516848</v>
      </c>
      <c r="F7">
        <f t="shared" si="0"/>
        <v>3.0615844488179293</v>
      </c>
      <c r="G7">
        <f t="shared" si="0"/>
        <v>0.86128941640764178</v>
      </c>
    </row>
    <row r="8" spans="1:7" x14ac:dyDescent="0.25">
      <c r="A8">
        <v>8</v>
      </c>
      <c r="B8">
        <v>26.393000000000001</v>
      </c>
      <c r="C8">
        <v>1838.77466049999</v>
      </c>
      <c r="D8">
        <v>7.4564000000000004</v>
      </c>
      <c r="E8">
        <f t="shared" si="1"/>
        <v>1.4214887577606257</v>
      </c>
      <c r="F8">
        <f>LOG(C8)</f>
        <v>3.2645285102616226</v>
      </c>
      <c r="G8">
        <f t="shared" si="0"/>
        <v>0.87252919778116045</v>
      </c>
    </row>
    <row r="9" spans="1:7" x14ac:dyDescent="0.25">
      <c r="A9">
        <v>9</v>
      </c>
      <c r="B9">
        <v>30.420300000000001</v>
      </c>
      <c r="C9">
        <v>3516.5208294999302</v>
      </c>
      <c r="D9">
        <v>9.4848999999999997</v>
      </c>
      <c r="E9">
        <f t="shared" si="1"/>
        <v>1.4831634926789168</v>
      </c>
      <c r="F9">
        <f t="shared" si="0"/>
        <v>3.5461131942249229</v>
      </c>
      <c r="G9">
        <f t="shared" si="0"/>
        <v>0.97703275645007626</v>
      </c>
    </row>
    <row r="10" spans="1:7" x14ac:dyDescent="0.25">
      <c r="A10">
        <v>10</v>
      </c>
      <c r="B10">
        <v>34.694000000000003</v>
      </c>
      <c r="C10">
        <v>5186.0814347000496</v>
      </c>
      <c r="D10">
        <v>10.451000000000001</v>
      </c>
      <c r="E10">
        <f t="shared" si="1"/>
        <v>1.5402543741511092</v>
      </c>
      <c r="F10">
        <f t="shared" si="0"/>
        <v>3.7148393320174424</v>
      </c>
      <c r="G10">
        <f t="shared" si="0"/>
        <v>1.0191578477392822</v>
      </c>
    </row>
    <row r="11" spans="1:7" x14ac:dyDescent="0.25">
      <c r="A11">
        <v>11</v>
      </c>
      <c r="B11">
        <v>30.386399999999998</v>
      </c>
      <c r="C11">
        <v>8478.9305999999997</v>
      </c>
      <c r="D11">
        <v>11.386100000000001</v>
      </c>
      <c r="E11">
        <f>LOG(B11)</f>
        <v>1.4826792504996229</v>
      </c>
      <c r="F11">
        <f t="shared" si="0"/>
        <v>3.9283410805814807</v>
      </c>
      <c r="G11">
        <f t="shared" si="0"/>
        <v>1.056374993743707</v>
      </c>
    </row>
    <row r="12" spans="1:7" x14ac:dyDescent="0.25">
      <c r="A12">
        <v>12</v>
      </c>
      <c r="B12">
        <v>34.236400000000003</v>
      </c>
      <c r="C12">
        <v>12524.936900000001</v>
      </c>
      <c r="D12">
        <v>10.168200000000001</v>
      </c>
      <c r="E12">
        <f>LOG(B12)</f>
        <v>1.5344880918014983</v>
      </c>
      <c r="F12">
        <f t="shared" si="0"/>
        <v>4.0977755465911123</v>
      </c>
      <c r="G12">
        <f t="shared" si="0"/>
        <v>1.0072440798396334</v>
      </c>
    </row>
    <row r="13" spans="1:7" x14ac:dyDescent="0.25">
      <c r="A13">
        <v>13</v>
      </c>
      <c r="B13">
        <v>44.634500000000003</v>
      </c>
      <c r="C13">
        <v>16796.3200866999</v>
      </c>
      <c r="D13">
        <v>12.081899999999999</v>
      </c>
      <c r="E13">
        <f t="shared" ref="E13:E19" si="2">LOG(B13)</f>
        <v>1.6496706741282019</v>
      </c>
      <c r="F13">
        <f t="shared" si="0"/>
        <v>4.2252141423747442</v>
      </c>
      <c r="G13">
        <f t="shared" si="0"/>
        <v>1.0821352368207013</v>
      </c>
    </row>
    <row r="14" spans="1:7" x14ac:dyDescent="0.25">
      <c r="A14">
        <v>14</v>
      </c>
      <c r="B14">
        <v>50.0473</v>
      </c>
      <c r="C14">
        <v>21012.654790399902</v>
      </c>
      <c r="D14">
        <v>14.673400000000001</v>
      </c>
      <c r="E14">
        <f t="shared" si="2"/>
        <v>1.6993806527098287</v>
      </c>
      <c r="F14">
        <f t="shared" si="0"/>
        <v>4.3224809257036334</v>
      </c>
      <c r="G14">
        <f t="shared" si="0"/>
        <v>1.1665307566621161</v>
      </c>
    </row>
    <row r="15" spans="1:7" x14ac:dyDescent="0.25">
      <c r="A15">
        <v>15</v>
      </c>
      <c r="B15">
        <v>43.535600000000002</v>
      </c>
      <c r="C15">
        <v>32499.925500000001</v>
      </c>
      <c r="D15">
        <v>16.215399999999999</v>
      </c>
      <c r="E15">
        <f t="shared" si="2"/>
        <v>1.6388445342071174</v>
      </c>
      <c r="F15">
        <f t="shared" si="0"/>
        <v>4.511882365441152</v>
      </c>
      <c r="G15">
        <f t="shared" si="0"/>
        <v>1.2099276662775773</v>
      </c>
    </row>
    <row r="16" spans="1:7" x14ac:dyDescent="0.25">
      <c r="A16">
        <v>16</v>
      </c>
      <c r="B16">
        <v>38.943899999999999</v>
      </c>
      <c r="C16">
        <v>43559.470699999998</v>
      </c>
      <c r="D16">
        <v>11.183999999999999</v>
      </c>
      <c r="E16">
        <f>LOG(B16)</f>
        <v>1.5904394413716649</v>
      </c>
      <c r="F16">
        <f t="shared" si="0"/>
        <v>4.6390825939150995</v>
      </c>
      <c r="G16">
        <f t="shared" si="0"/>
        <v>1.0485971584016061</v>
      </c>
    </row>
    <row r="17" spans="1:7" x14ac:dyDescent="0.25">
      <c r="A17">
        <v>17</v>
      </c>
      <c r="B17">
        <v>41.8279</v>
      </c>
      <c r="C17">
        <v>55222.275399999999</v>
      </c>
      <c r="D17">
        <v>11.9016</v>
      </c>
      <c r="E17">
        <f t="shared" si="2"/>
        <v>1.6214660610590934</v>
      </c>
      <c r="F17">
        <f t="shared" si="0"/>
        <v>4.7421142975097794</v>
      </c>
      <c r="G17">
        <f t="shared" si="0"/>
        <v>1.0756053500027158</v>
      </c>
    </row>
    <row r="18" spans="1:7" x14ac:dyDescent="0.25">
      <c r="A18">
        <v>18</v>
      </c>
      <c r="B18">
        <v>44.598100000000002</v>
      </c>
      <c r="D18">
        <v>12.5654</v>
      </c>
      <c r="E18">
        <f t="shared" si="2"/>
        <v>1.6493163569836131</v>
      </c>
      <c r="G18">
        <f t="shared" ref="G18:G20" si="3">LOG(D18)</f>
        <v>1.0991763182391967</v>
      </c>
    </row>
    <row r="19" spans="1:7" x14ac:dyDescent="0.25">
      <c r="A19">
        <v>19</v>
      </c>
      <c r="B19">
        <v>47.9178</v>
      </c>
      <c r="D19">
        <v>13.136100000000001</v>
      </c>
      <c r="E19">
        <f t="shared" si="2"/>
        <v>1.6804968705291454</v>
      </c>
      <c r="G19">
        <f t="shared" si="3"/>
        <v>1.11846644590226</v>
      </c>
    </row>
    <row r="20" spans="1:7" x14ac:dyDescent="0.25">
      <c r="A20">
        <v>20</v>
      </c>
      <c r="B20">
        <v>50.803199999999997</v>
      </c>
      <c r="D20">
        <v>13.988899999999999</v>
      </c>
      <c r="E20">
        <f>LOG(B20)</f>
        <v>1.7058910685550317</v>
      </c>
      <c r="G20">
        <f t="shared" si="3"/>
        <v>1.1457835656203323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A7465-3418-4CA6-8BF7-4F9A81E9EF1F}">
  <dimension ref="A1:G20"/>
  <sheetViews>
    <sheetView workbookViewId="0">
      <selection activeCell="C18" sqref="C1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</v>
      </c>
      <c r="B2">
        <v>3.9781</v>
      </c>
      <c r="C2">
        <v>10.756514599896001</v>
      </c>
      <c r="D2">
        <v>1.3101</v>
      </c>
      <c r="E2">
        <f>LOG(B2)</f>
        <v>0.59967569605898718</v>
      </c>
      <c r="F2">
        <f t="shared" ref="F2:G17" si="0">LOG(C2)</f>
        <v>1.0316715710288784</v>
      </c>
      <c r="G2">
        <f t="shared" si="0"/>
        <v>0.11730444664100256</v>
      </c>
    </row>
    <row r="3" spans="1:7" x14ac:dyDescent="0.25">
      <c r="A3">
        <v>3</v>
      </c>
      <c r="B3">
        <v>6.1863000000000001</v>
      </c>
      <c r="C3">
        <v>46.418684400036</v>
      </c>
      <c r="D3">
        <v>2.0291000000000001</v>
      </c>
      <c r="E3">
        <f>LOG(B3)</f>
        <v>0.79143097696450937</v>
      </c>
      <c r="F3">
        <f t="shared" si="0"/>
        <v>1.6666928275050474</v>
      </c>
      <c r="G3">
        <f t="shared" si="0"/>
        <v>0.30730345086676514</v>
      </c>
    </row>
    <row r="4" spans="1:7" x14ac:dyDescent="0.25">
      <c r="A4">
        <v>4</v>
      </c>
      <c r="B4">
        <v>10.829700000000001</v>
      </c>
      <c r="C4">
        <v>138.67723060003399</v>
      </c>
      <c r="D4">
        <v>2.7726999999999999</v>
      </c>
      <c r="E4">
        <f t="shared" ref="E4:E10" si="1">LOG(B4)</f>
        <v>1.0346164261406341</v>
      </c>
      <c r="F4">
        <f t="shared" si="0"/>
        <v>2.1420051601610774</v>
      </c>
      <c r="G4">
        <f t="shared" si="0"/>
        <v>0.44290288241854975</v>
      </c>
    </row>
    <row r="5" spans="1:7" x14ac:dyDescent="0.25">
      <c r="A5">
        <v>5</v>
      </c>
      <c r="B5">
        <v>13.5763</v>
      </c>
      <c r="C5">
        <v>329.26826469996001</v>
      </c>
      <c r="D5">
        <v>4.3215000000000003</v>
      </c>
      <c r="E5">
        <f t="shared" si="1"/>
        <v>1.1327814261647349</v>
      </c>
      <c r="F5">
        <f t="shared" si="0"/>
        <v>2.5175498748666194</v>
      </c>
      <c r="G5">
        <f t="shared" si="0"/>
        <v>0.63563451733609422</v>
      </c>
    </row>
    <row r="6" spans="1:7" x14ac:dyDescent="0.25">
      <c r="A6">
        <v>6</v>
      </c>
      <c r="B6">
        <v>16.0822</v>
      </c>
      <c r="C6">
        <v>785.76780199992902</v>
      </c>
      <c r="D6">
        <v>5.2428999999999997</v>
      </c>
      <c r="E6">
        <f t="shared" si="1"/>
        <v>1.206345458747377</v>
      </c>
      <c r="F6">
        <f t="shared" si="0"/>
        <v>2.8952942289804313</v>
      </c>
      <c r="G6">
        <f t="shared" si="0"/>
        <v>0.7195715743144554</v>
      </c>
    </row>
    <row r="7" spans="1:7" x14ac:dyDescent="0.25">
      <c r="A7">
        <v>7</v>
      </c>
      <c r="B7">
        <v>19.246500000000001</v>
      </c>
      <c r="C7">
        <v>1343.7015475999699</v>
      </c>
      <c r="D7">
        <v>5.7320000000000002</v>
      </c>
      <c r="E7">
        <f t="shared" si="1"/>
        <v>1.2843517640321547</v>
      </c>
      <c r="F7">
        <f t="shared" si="0"/>
        <v>3.1283028173606291</v>
      </c>
      <c r="G7">
        <f t="shared" si="0"/>
        <v>0.75830618172530684</v>
      </c>
    </row>
    <row r="8" spans="1:7" x14ac:dyDescent="0.25">
      <c r="A8">
        <v>8</v>
      </c>
      <c r="B8">
        <v>22.281400000000001</v>
      </c>
      <c r="C8">
        <v>2164.0820960999699</v>
      </c>
      <c r="D8">
        <v>6.8082000000000003</v>
      </c>
      <c r="E8">
        <f t="shared" si="1"/>
        <v>1.3479424752437354</v>
      </c>
      <c r="F8">
        <f>LOG(C8)</f>
        <v>3.3352737320384671</v>
      </c>
      <c r="G8">
        <f t="shared" si="0"/>
        <v>0.83303230524641547</v>
      </c>
    </row>
    <row r="9" spans="1:7" x14ac:dyDescent="0.25">
      <c r="A9">
        <v>9</v>
      </c>
      <c r="B9">
        <v>25.051100000000002</v>
      </c>
      <c r="C9">
        <v>3332.4472665999701</v>
      </c>
      <c r="D9">
        <v>7.4641000000000002</v>
      </c>
      <c r="E9">
        <f t="shared" si="1"/>
        <v>1.398826800600129</v>
      </c>
      <c r="F9">
        <f t="shared" si="0"/>
        <v>3.5227632857660631</v>
      </c>
      <c r="G9">
        <f t="shared" si="0"/>
        <v>0.87297744922146425</v>
      </c>
    </row>
    <row r="10" spans="1:7" x14ac:dyDescent="0.25">
      <c r="A10">
        <v>10</v>
      </c>
      <c r="B10">
        <v>28.3568</v>
      </c>
      <c r="C10">
        <v>5488.93938790005</v>
      </c>
      <c r="D10">
        <v>8.2615999999999996</v>
      </c>
      <c r="E10">
        <f t="shared" si="1"/>
        <v>1.452657220137483</v>
      </c>
      <c r="F10">
        <f t="shared" si="0"/>
        <v>3.7394884350727637</v>
      </c>
      <c r="G10">
        <f t="shared" si="0"/>
        <v>0.91706416401285962</v>
      </c>
    </row>
    <row r="11" spans="1:7" x14ac:dyDescent="0.25">
      <c r="A11">
        <v>11</v>
      </c>
      <c r="B11">
        <v>31.741399999999999</v>
      </c>
      <c r="C11">
        <v>9483.2497268999796</v>
      </c>
      <c r="D11">
        <v>9.4794</v>
      </c>
      <c r="E11">
        <f>LOG(B11)</f>
        <v>1.501626078022668</v>
      </c>
      <c r="F11">
        <f t="shared" si="0"/>
        <v>3.9769571871918092</v>
      </c>
      <c r="G11">
        <f t="shared" si="0"/>
        <v>0.97678084947566246</v>
      </c>
    </row>
    <row r="12" spans="1:7" x14ac:dyDescent="0.25">
      <c r="A12">
        <v>12</v>
      </c>
      <c r="B12">
        <v>34.944899999999997</v>
      </c>
      <c r="C12">
        <v>11844.0148782999</v>
      </c>
      <c r="D12">
        <v>10.635300000000001</v>
      </c>
      <c r="E12">
        <f>LOG(B12)</f>
        <v>1.5433838020137256</v>
      </c>
      <c r="F12">
        <f t="shared" si="0"/>
        <v>4.0734989442727736</v>
      </c>
      <c r="G12">
        <f t="shared" si="0"/>
        <v>1.0267497449681291</v>
      </c>
    </row>
    <row r="13" spans="1:7" x14ac:dyDescent="0.25">
      <c r="A13">
        <v>13</v>
      </c>
      <c r="B13">
        <v>38.143500000000003</v>
      </c>
      <c r="C13">
        <v>17001.329136699998</v>
      </c>
      <c r="D13">
        <v>10.9618</v>
      </c>
      <c r="E13">
        <f t="shared" ref="E13:E19" si="2">LOG(B13)</f>
        <v>1.5814205408585571</v>
      </c>
      <c r="F13">
        <f t="shared" si="0"/>
        <v>4.2304828751529913</v>
      </c>
      <c r="G13">
        <f t="shared" si="0"/>
        <v>1.0398818740280302</v>
      </c>
    </row>
    <row r="14" spans="1:7" x14ac:dyDescent="0.25">
      <c r="A14">
        <v>14</v>
      </c>
      <c r="B14">
        <v>41.035400000000003</v>
      </c>
      <c r="C14">
        <v>26827.858899999999</v>
      </c>
      <c r="D14">
        <v>11.5748</v>
      </c>
      <c r="E14">
        <f t="shared" si="2"/>
        <v>1.6131586711440851</v>
      </c>
      <c r="F14">
        <f t="shared" si="0"/>
        <v>4.4285860135209862</v>
      </c>
      <c r="G14">
        <f t="shared" si="0"/>
        <v>1.0635134956168339</v>
      </c>
    </row>
    <row r="15" spans="1:7" x14ac:dyDescent="0.25">
      <c r="A15">
        <v>15</v>
      </c>
      <c r="B15">
        <v>44.761200000000002</v>
      </c>
      <c r="C15">
        <v>37393.420100000003</v>
      </c>
      <c r="D15">
        <v>12.555300000000001</v>
      </c>
      <c r="E15">
        <f t="shared" si="2"/>
        <v>1.6509017209839363</v>
      </c>
      <c r="F15">
        <f t="shared" si="0"/>
        <v>4.5727951886800122</v>
      </c>
      <c r="G15">
        <f t="shared" si="0"/>
        <v>1.0988270943319349</v>
      </c>
    </row>
    <row r="16" spans="1:7" x14ac:dyDescent="0.25">
      <c r="A16">
        <v>16</v>
      </c>
      <c r="B16">
        <v>46.724200000000003</v>
      </c>
      <c r="C16">
        <v>46849.981599999999</v>
      </c>
      <c r="D16">
        <v>15.5246</v>
      </c>
      <c r="E16">
        <f>LOG(B16)</f>
        <v>1.6695418742336443</v>
      </c>
      <c r="F16">
        <f t="shared" si="0"/>
        <v>4.6707094246577343</v>
      </c>
      <c r="G16">
        <f t="shared" si="0"/>
        <v>1.1910204191525977</v>
      </c>
    </row>
    <row r="17" spans="1:7" x14ac:dyDescent="0.25">
      <c r="A17">
        <v>17</v>
      </c>
      <c r="B17">
        <v>50.381500000000003</v>
      </c>
      <c r="C17">
        <v>63182.493699999999</v>
      </c>
      <c r="D17">
        <v>14.525399999999999</v>
      </c>
      <c r="E17">
        <f t="shared" si="2"/>
        <v>1.7022710935317871</v>
      </c>
      <c r="F17">
        <f t="shared" si="0"/>
        <v>4.8005967627336945</v>
      </c>
      <c r="G17">
        <f t="shared" si="0"/>
        <v>1.1621281008145763</v>
      </c>
    </row>
    <row r="18" spans="1:7" x14ac:dyDescent="0.25">
      <c r="A18">
        <v>18</v>
      </c>
      <c r="B18">
        <v>53.822499999999998</v>
      </c>
      <c r="C18">
        <v>93029.698300000004</v>
      </c>
      <c r="D18">
        <v>15.210100000000001</v>
      </c>
      <c r="E18">
        <f t="shared" si="2"/>
        <v>1.730963866430127</v>
      </c>
      <c r="G18">
        <f t="shared" ref="G18:G20" si="3">LOG(D18)</f>
        <v>1.1821320693656496</v>
      </c>
    </row>
    <row r="19" spans="1:7" x14ac:dyDescent="0.25">
      <c r="A19">
        <v>19</v>
      </c>
      <c r="B19">
        <v>57.724600000000002</v>
      </c>
      <c r="D19">
        <v>15.5809</v>
      </c>
      <c r="E19">
        <f t="shared" si="2"/>
        <v>1.7613609321757078</v>
      </c>
      <c r="G19">
        <f t="shared" si="3"/>
        <v>1.1925925402264508</v>
      </c>
    </row>
    <row r="20" spans="1:7" x14ac:dyDescent="0.25">
      <c r="A20">
        <v>20</v>
      </c>
      <c r="B20">
        <v>62.737699999999997</v>
      </c>
      <c r="D20">
        <v>16.297699999999999</v>
      </c>
      <c r="E20">
        <f>LOG(B20)</f>
        <v>1.7975285931692198</v>
      </c>
      <c r="G20">
        <f t="shared" si="3"/>
        <v>1.2121263192635929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1E5FA-6DFD-4EC9-B892-394B7480FBEB}">
  <dimension ref="A1:G20"/>
  <sheetViews>
    <sheetView workbookViewId="0">
      <selection activeCell="C14" sqref="C1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</v>
      </c>
      <c r="B2">
        <v>5.7257436000509099</v>
      </c>
      <c r="C2">
        <v>11.987102600047301</v>
      </c>
      <c r="D2">
        <v>2.03520159999607</v>
      </c>
      <c r="E2">
        <f>LOG(B2)</f>
        <v>0.75783189632682679</v>
      </c>
      <c r="F2">
        <f t="shared" ref="F2:G17" si="0">LOG(C2)</f>
        <v>1.078714222558917</v>
      </c>
      <c r="G2">
        <f t="shared" si="0"/>
        <v>0.30860743539382651</v>
      </c>
    </row>
    <row r="3" spans="1:7" x14ac:dyDescent="0.25">
      <c r="A3">
        <v>3</v>
      </c>
      <c r="B3">
        <v>7.1487694999668703</v>
      </c>
      <c r="C3">
        <v>52.972348700044599</v>
      </c>
      <c r="D3">
        <v>3.4488071999512599</v>
      </c>
      <c r="E3">
        <f>LOG(B3)</f>
        <v>0.8542312941977025</v>
      </c>
      <c r="F3">
        <f t="shared" si="0"/>
        <v>1.7240492292100091</v>
      </c>
      <c r="G3">
        <f t="shared" si="0"/>
        <v>0.53766891650781212</v>
      </c>
    </row>
    <row r="4" spans="1:7" x14ac:dyDescent="0.25">
      <c r="A4">
        <v>4</v>
      </c>
      <c r="B4">
        <v>11.1007476000231</v>
      </c>
      <c r="C4">
        <v>161.134187299991</v>
      </c>
      <c r="D4">
        <v>3.20822009997209</v>
      </c>
      <c r="E4">
        <f t="shared" ref="E4:E10" si="1">LOG(B4)</f>
        <v>1.0453522281228218</v>
      </c>
      <c r="F4">
        <f t="shared" si="0"/>
        <v>2.2071876929987897</v>
      </c>
      <c r="G4">
        <f t="shared" si="0"/>
        <v>0.50626415541148873</v>
      </c>
    </row>
    <row r="5" spans="1:7" x14ac:dyDescent="0.25">
      <c r="A5">
        <v>5</v>
      </c>
      <c r="B5">
        <v>14.1273713000118</v>
      </c>
      <c r="C5">
        <v>371.391259899945</v>
      </c>
      <c r="D5">
        <v>4.6156121999956596</v>
      </c>
      <c r="E5">
        <f t="shared" si="1"/>
        <v>1.1500613595764275</v>
      </c>
      <c r="F5">
        <f t="shared" si="0"/>
        <v>2.5698316790971147</v>
      </c>
      <c r="G5">
        <f t="shared" si="0"/>
        <v>0.66422931260933016</v>
      </c>
    </row>
    <row r="6" spans="1:7" x14ac:dyDescent="0.25">
      <c r="A6">
        <v>6</v>
      </c>
      <c r="B6">
        <v>17.770343700016301</v>
      </c>
      <c r="C6">
        <v>787.89009030000295</v>
      </c>
      <c r="D6">
        <v>5.5675382000044902</v>
      </c>
      <c r="E6">
        <f t="shared" si="1"/>
        <v>1.249695827668948</v>
      </c>
      <c r="F6">
        <f t="shared" si="0"/>
        <v>2.8964656381679545</v>
      </c>
      <c r="G6">
        <f t="shared" si="0"/>
        <v>0.74566320549848619</v>
      </c>
    </row>
    <row r="7" spans="1:7" x14ac:dyDescent="0.25">
      <c r="A7">
        <v>7</v>
      </c>
      <c r="B7">
        <v>21.049236599996199</v>
      </c>
      <c r="C7">
        <v>1760.3408735000901</v>
      </c>
      <c r="D7">
        <v>6.4512440999969796</v>
      </c>
      <c r="E7">
        <f t="shared" si="1"/>
        <v>1.3232363497478814</v>
      </c>
      <c r="F7">
        <f t="shared" si="0"/>
        <v>3.2455967730107194</v>
      </c>
      <c r="G7">
        <f t="shared" si="0"/>
        <v>0.80964347489297794</v>
      </c>
    </row>
    <row r="8" spans="1:7" x14ac:dyDescent="0.25">
      <c r="A8">
        <v>8</v>
      </c>
      <c r="B8">
        <v>24.459982800006401</v>
      </c>
      <c r="C8">
        <v>2676.5501176000098</v>
      </c>
      <c r="D8">
        <v>7.4485848000040198</v>
      </c>
      <c r="E8">
        <f t="shared" si="1"/>
        <v>1.3884561473092227</v>
      </c>
      <c r="F8">
        <f>LOG(C8)</f>
        <v>3.4275753798297997</v>
      </c>
      <c r="G8">
        <f t="shared" si="0"/>
        <v>0.87207376644864854</v>
      </c>
    </row>
    <row r="9" spans="1:7" x14ac:dyDescent="0.25">
      <c r="A9">
        <v>9</v>
      </c>
      <c r="B9">
        <v>25.064749100012701</v>
      </c>
      <c r="C9">
        <v>4490.0212532000096</v>
      </c>
      <c r="D9">
        <v>8.4608138999901694</v>
      </c>
      <c r="E9">
        <f t="shared" si="1"/>
        <v>1.3990633616510331</v>
      </c>
      <c r="F9">
        <f t="shared" si="0"/>
        <v>3.652248396710593</v>
      </c>
      <c r="G9">
        <f t="shared" si="0"/>
        <v>0.92741214262207594</v>
      </c>
    </row>
    <row r="10" spans="1:7" x14ac:dyDescent="0.25">
      <c r="A10">
        <v>10</v>
      </c>
      <c r="B10">
        <v>26.6374358999892</v>
      </c>
      <c r="C10">
        <v>7783.7774267999903</v>
      </c>
      <c r="D10">
        <v>8.0915618999861092</v>
      </c>
      <c r="E10">
        <f t="shared" si="1"/>
        <v>1.4254924176424095</v>
      </c>
      <c r="F10">
        <f t="shared" si="0"/>
        <v>3.8911904090055969</v>
      </c>
      <c r="G10">
        <f t="shared" si="0"/>
        <v>0.90803236080549121</v>
      </c>
    </row>
    <row r="11" spans="1:7" x14ac:dyDescent="0.25">
      <c r="A11">
        <v>11</v>
      </c>
      <c r="B11">
        <v>31.0823746999958</v>
      </c>
      <c r="C11">
        <v>9546.2483959000092</v>
      </c>
      <c r="D11">
        <v>9.1464138000155799</v>
      </c>
      <c r="E11">
        <f>LOG(B11)</f>
        <v>1.492514191586626</v>
      </c>
      <c r="F11">
        <f t="shared" si="0"/>
        <v>3.9798327306341634</v>
      </c>
      <c r="G11">
        <f t="shared" si="0"/>
        <v>0.9612508457433393</v>
      </c>
    </row>
    <row r="12" spans="1:7" x14ac:dyDescent="0.25">
      <c r="A12">
        <v>12</v>
      </c>
      <c r="B12">
        <v>37.033908599987598</v>
      </c>
      <c r="C12">
        <v>13425.482031699899</v>
      </c>
      <c r="D12">
        <v>11.198196600016599</v>
      </c>
      <c r="E12">
        <f>LOG(B12)</f>
        <v>1.5685995503920374</v>
      </c>
      <c r="F12">
        <f t="shared" si="0"/>
        <v>4.1279298876638961</v>
      </c>
      <c r="G12">
        <f t="shared" si="0"/>
        <v>1.0491480878734536</v>
      </c>
    </row>
    <row r="13" spans="1:7" x14ac:dyDescent="0.25">
      <c r="A13">
        <v>13</v>
      </c>
      <c r="B13">
        <v>40.702918599999897</v>
      </c>
      <c r="C13">
        <v>20349.784599999999</v>
      </c>
      <c r="D13">
        <v>12.1166240000166</v>
      </c>
      <c r="E13">
        <f t="shared" ref="E13:E19" si="2">LOG(B13)</f>
        <v>1.6096255513979376</v>
      </c>
      <c r="F13">
        <f t="shared" si="0"/>
        <v>4.30855981663119</v>
      </c>
      <c r="G13">
        <f t="shared" si="0"/>
        <v>1.0833816311832365</v>
      </c>
    </row>
    <row r="14" spans="1:7" x14ac:dyDescent="0.25">
      <c r="A14">
        <v>14</v>
      </c>
      <c r="B14">
        <v>44.576451000000802</v>
      </c>
      <c r="C14">
        <v>33847.537600000003</v>
      </c>
      <c r="D14">
        <v>12.8352668000152</v>
      </c>
      <c r="E14">
        <f t="shared" si="2"/>
        <v>1.6491054887186731</v>
      </c>
      <c r="F14">
        <f t="shared" si="0"/>
        <v>4.5295270793540778</v>
      </c>
      <c r="G14">
        <f t="shared" si="0"/>
        <v>1.1084049005548016</v>
      </c>
    </row>
    <row r="15" spans="1:7" x14ac:dyDescent="0.25">
      <c r="A15">
        <v>15</v>
      </c>
      <c r="B15">
        <v>49.814456499996503</v>
      </c>
      <c r="D15">
        <v>13.8743821000098</v>
      </c>
      <c r="E15">
        <f t="shared" si="2"/>
        <v>1.697355396315412</v>
      </c>
      <c r="F15" t="e">
        <f t="shared" si="0"/>
        <v>#NUM!</v>
      </c>
      <c r="G15">
        <f t="shared" si="0"/>
        <v>1.1422136507834302</v>
      </c>
    </row>
    <row r="16" spans="1:7" x14ac:dyDescent="0.25">
      <c r="A16">
        <v>16</v>
      </c>
      <c r="B16">
        <v>52.256787099991897</v>
      </c>
      <c r="D16">
        <v>15.556656399974599</v>
      </c>
      <c r="E16">
        <f>LOG(B16)</f>
        <v>1.7181427045180102</v>
      </c>
      <c r="F16" t="e">
        <f t="shared" si="0"/>
        <v>#NUM!</v>
      </c>
      <c r="G16">
        <f t="shared" si="0"/>
        <v>1.1919162595508042</v>
      </c>
    </row>
    <row r="17" spans="1:7" x14ac:dyDescent="0.25">
      <c r="A17">
        <v>17</v>
      </c>
      <c r="B17">
        <v>58.773098199977497</v>
      </c>
      <c r="D17">
        <v>15.8956125000258</v>
      </c>
      <c r="E17">
        <f t="shared" si="2"/>
        <v>1.7691785849748867</v>
      </c>
      <c r="F17" t="e">
        <f t="shared" si="0"/>
        <v>#NUM!</v>
      </c>
      <c r="G17">
        <f t="shared" si="0"/>
        <v>1.2012772670891911</v>
      </c>
    </row>
    <row r="18" spans="1:7" x14ac:dyDescent="0.25">
      <c r="A18">
        <v>18</v>
      </c>
      <c r="B18">
        <v>59.662976999999898</v>
      </c>
      <c r="D18">
        <v>16.632343800039902</v>
      </c>
      <c r="E18">
        <f t="shared" si="2"/>
        <v>1.775704919532519</v>
      </c>
      <c r="G18">
        <f t="shared" ref="G18:G20" si="3">LOG(D18)</f>
        <v>1.2209534535310265</v>
      </c>
    </row>
    <row r="19" spans="1:7" x14ac:dyDescent="0.25">
      <c r="A19">
        <v>19</v>
      </c>
      <c r="B19">
        <v>63.600556399964198</v>
      </c>
      <c r="D19">
        <v>17.8528341000201</v>
      </c>
      <c r="E19">
        <f t="shared" si="2"/>
        <v>1.8034609150254137</v>
      </c>
      <c r="G19">
        <f t="shared" si="3"/>
        <v>1.2517071692604564</v>
      </c>
    </row>
    <row r="20" spans="1:7" x14ac:dyDescent="0.25">
      <c r="A20">
        <v>20</v>
      </c>
      <c r="B20">
        <v>67.469551899994201</v>
      </c>
      <c r="D20">
        <v>18.9571114000282</v>
      </c>
      <c r="E20">
        <f>LOG(B20)</f>
        <v>1.8291078257917834</v>
      </c>
      <c r="G20">
        <f t="shared" si="3"/>
        <v>1.2777721621897526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100s</vt:lpstr>
      <vt:lpstr>5s</vt:lpstr>
      <vt:lpstr>5s 500</vt:lpstr>
      <vt:lpstr>10s 1000</vt:lpstr>
      <vt:lpstr>20s 2000</vt:lpstr>
      <vt:lpstr>30s 3000</vt:lpstr>
      <vt:lpstr>40s 4000</vt:lpstr>
      <vt:lpstr>50s 5000</vt:lpstr>
      <vt:lpstr>60s 6000</vt:lpstr>
      <vt:lpstr>70s 7000</vt:lpstr>
      <vt:lpstr>80s 8000</vt:lpstr>
      <vt:lpstr>90s 9000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Alizhan Sholpanbekov</cp:lastModifiedBy>
  <dcterms:created xsi:type="dcterms:W3CDTF">2015-06-05T18:17:20Z</dcterms:created>
  <dcterms:modified xsi:type="dcterms:W3CDTF">2026-09-09T14:08:43Z</dcterms:modified>
</cp:coreProperties>
</file>